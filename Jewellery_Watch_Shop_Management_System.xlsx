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9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 workbookPassword="C7E9" lockStructure="1"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STRUCTIONS" sheetId="2" state="visible" r:id="rId4"/>
    <sheet name="INVENTORY MASTER" sheetId="3" state="visible" r:id="rId5"/>
    <sheet name="WATCH DETAILS" sheetId="4" state="visible" r:id="rId6"/>
    <sheet name="JEWELLERY DETAILS" sheetId="5" state="visible" r:id="rId7"/>
    <sheet name="SALES" sheetId="6" state="visible" r:id="rId8"/>
    <sheet name="PARTNER CONTRIBUTIONS" sheetId="7" state="visible" r:id="rId9"/>
    <sheet name="PARTNER SUMMARY" sheetId="8" state="visible" r:id="rId10"/>
    <sheet name="EXPENSES" sheetId="9" state="visible" r:id="rId11"/>
    <sheet name="BUILDING &amp; SETUP" sheetId="10" state="visible" r:id="rId12"/>
    <sheet name="STOCK MOVEMENT" sheetId="11" state="visible" r:id="rId13"/>
    <sheet name="STAFF" sheetId="12" state="visible" r:id="rId14"/>
    <sheet name="SUPPLIERS" sheetId="13" state="visible" r:id="rId15"/>
    <sheet name="CUSTOMERS" sheetId="14" state="visible" r:id="rId16"/>
    <sheet name="RETURNS &amp; REFUNDS" sheetId="15" state="visible" r:id="rId17"/>
    <sheet name="STOCK TAKE" sheetId="16" state="visible" r:id="rId18"/>
    <sheet name="MONTH-END" sheetId="17" state="visible" r:id="rId19"/>
    <sheet name="SETTINGS" sheetId="18" state="visible" r:id="rId20"/>
    <sheet name="AUDIT LOG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Add an item photo here. BEST WAY (Excel 365): click the cell, then Insert &gt; Pictures &gt; Place in Cell &gt; This Device — the photo lives IN the cell and moves when you sort/filter. Or keep a file path / URL in the 'Photo/Document Link' column. (The sample images shown are floating illustrations — delete them and use Place in Cell for real stock.)</t>
        </r>
      </text>
    </comment>
    <comment ref="AD3" authorId="0">
      <text>
        <r>
          <rPr>
            <sz val="10"/>
            <rFont val="Arial"/>
            <family val="2"/>
          </rPr>
          <t xml:space="preserve">Currency you actually PAID in (GBP, USD, AED/Dirham, EUR...). Pick from the list. 'Purchase Price (GBP)' converts it automatically.</t>
        </r>
      </text>
    </comment>
    <comment ref="AF3" authorId="0">
      <text>
        <r>
          <rPr>
            <sz val="10"/>
            <rFont val="Arial"/>
            <family val="2"/>
          </rPr>
          <t xml:space="preserve">How many GBP = 1 unit of the purchase currency, at the time you bought it (e.g. USD 0.79). LEAVE BLANK to use the indicative rate on the SETTINGS sheet. GBP rows are always 1.</t>
        </r>
      </text>
    </comment>
    <comment ref="AG3" authorId="0">
      <text>
        <r>
          <rPr>
            <sz val="10"/>
            <rFont val="Arial"/>
            <family val="2"/>
          </rPr>
          <t xml:space="preserve">Auto-calculated = Original Purchase Price x FX rate. Everything else in the workbook (profit, stock value, dashboard) uses this GBP figure.</t>
        </r>
      </text>
    </comment>
    <comment ref="AJ3" authorId="0">
      <text>
        <r>
          <rPr>
            <sz val="10"/>
            <rFont val="Arial"/>
            <family val="2"/>
          </rPr>
          <t xml:space="preserve">Who physically paid. This does NOT determine ownership. Record whether it is a Partner Loan / Capital / Business asset in 'Funding Type' and log it in the PARTNER CONTRIBUTIONS ledger.</t>
        </r>
      </text>
    </comment>
  </commentList>
</comments>
</file>

<file path=xl/sharedStrings.xml><?xml version="1.0" encoding="utf-8"?>
<sst xmlns="http://schemas.openxmlformats.org/spreadsheetml/2006/main" count="1117" uniqueCount="770">
  <si>
    <t xml:space="preserve">MANAGEMENT DASHBOARD</t>
  </si>
  <si>
    <t xml:space="preserve">Live KPIs — updates automatically as you enter data. All values GBP (£). Reporting date is set on the SETTINGS sheet.</t>
  </si>
  <si>
    <t xml:space="preserve">STOCK</t>
  </si>
  <si>
    <t xml:space="preserve">SALES</t>
  </si>
  <si>
    <t xml:space="preserve">PROFIT &amp; TRADING</t>
  </si>
  <si>
    <t xml:space="preserve">⚠ WARNINGS / EXCEPTIONS</t>
  </si>
  <si>
    <t xml:space="preserve">Total stock items</t>
  </si>
  <si>
    <t xml:space="preserve">Today's sales</t>
  </si>
  <si>
    <t xml:space="preserve">Gross profit this month</t>
  </si>
  <si>
    <t xml:space="preserve">Stock below minimum price</t>
  </si>
  <si>
    <t xml:space="preserve">Watches</t>
  </si>
  <si>
    <t xml:space="preserve">This week's sales</t>
  </si>
  <si>
    <t xml:space="preserve">Gross profit this year</t>
  </si>
  <si>
    <t xml:space="preserve">Missing / lost stock</t>
  </si>
  <si>
    <t xml:space="preserve">Jewellery items</t>
  </si>
  <si>
    <t xml:space="preserve">Sales this month</t>
  </si>
  <si>
    <t xml:space="preserve">Avg gross profit / sale</t>
  </si>
  <si>
    <t xml:space="preserve">Overdue stock movements</t>
  </si>
  <si>
    <t xml:space="preserve">Available items</t>
  </si>
  <si>
    <t xml:space="preserve">Sales this year</t>
  </si>
  <si>
    <t xml:space="preserve">Avg gross margin %</t>
  </si>
  <si>
    <t xml:space="preserve">Negative-margin sales</t>
  </si>
  <si>
    <t xml:space="preserve">Reserved items</t>
  </si>
  <si>
    <t xml:space="preserve">Number of sales (year)</t>
  </si>
  <si>
    <t xml:space="preserve">Operating expenses this month</t>
  </si>
  <si>
    <t xml:space="preserve">Missing serial (watches)</t>
  </si>
  <si>
    <t xml:space="preserve">Sold items</t>
  </si>
  <si>
    <t xml:space="preserve">Operating expenses this year</t>
  </si>
  <si>
    <t xml:space="preserve">Duplicate serial numbers</t>
  </si>
  <si>
    <t xml:space="preserve">Items outside premises</t>
  </si>
  <si>
    <t xml:space="preserve">PARTNERS</t>
  </si>
  <si>
    <t xml:space="preserve">Net trading result (year)</t>
  </si>
  <si>
    <t xml:space="preserve">Missing purchase price</t>
  </si>
  <si>
    <t xml:space="preserve">Missing items</t>
  </si>
  <si>
    <t xml:space="preserve">Partner 1 outstanding</t>
  </si>
  <si>
    <t xml:space="preserve">Potential GP on inventory</t>
  </si>
  <si>
    <t xml:space="preserve">Missing supplier details</t>
  </si>
  <si>
    <t xml:space="preserve">Total stock at cost</t>
  </si>
  <si>
    <t xml:space="preserve">Partner 2 outstanding</t>
  </si>
  <si>
    <t xml:space="preserve">Stock below min price (count)</t>
  </si>
  <si>
    <t xml:space="preserve">Items without photos/docs</t>
  </si>
  <si>
    <t xml:space="preserve">Expected retail value</t>
  </si>
  <si>
    <t xml:space="preserve">Partner 3 outstanding</t>
  </si>
  <si>
    <t xml:space="preserve">Discounts &gt; 20%% (count)</t>
  </si>
  <si>
    <t xml:space="preserve">Sold but still 'Available'</t>
  </si>
  <si>
    <t xml:space="preserve">Potential stock profit</t>
  </si>
  <si>
    <t xml:space="preserve">Total partner funding outstanding</t>
  </si>
  <si>
    <t xml:space="preserve">Negative-margin sales (count)</t>
  </si>
  <si>
    <t xml:space="preserve">Unreconciled partner txns</t>
  </si>
  <si>
    <t xml:space="preserve">MONTHLY PERFORMANCE (reporting year)</t>
  </si>
  <si>
    <t xml:space="preserve">BY CATEGORY</t>
  </si>
  <si>
    <t xml:space="preserve">BY EMPLOYEE</t>
  </si>
  <si>
    <t xml:space="preserve">EXPENSES BY CATEGORY</t>
  </si>
  <si>
    <t xml:space="preserve">Month</t>
  </si>
  <si>
    <t xml:space="preserve">Sales</t>
  </si>
  <si>
    <t xml:space="preserve">Gross Profit</t>
  </si>
  <si>
    <t xml:space="preserve">Category</t>
  </si>
  <si>
    <t xml:space="preserve">Stock Value</t>
  </si>
  <si>
    <t xml:space="preserve">Employee</t>
  </si>
  <si>
    <t xml:space="preserve">Amount</t>
  </si>
  <si>
    <t xml:space="preserve">Jan</t>
  </si>
  <si>
    <t xml:space="preserve">Watch</t>
  </si>
  <si>
    <t xml:space="preserve">Sarah Hughes</t>
  </si>
  <si>
    <t xml:space="preserve">Rent</t>
  </si>
  <si>
    <t xml:space="preserve">Feb</t>
  </si>
  <si>
    <t xml:space="preserve">Ring</t>
  </si>
  <si>
    <t xml:space="preserve">James Patel</t>
  </si>
  <si>
    <t xml:space="preserve">Refurbishment</t>
  </si>
  <si>
    <t xml:space="preserve">Mar</t>
  </si>
  <si>
    <t xml:space="preserve">Bracelet</t>
  </si>
  <si>
    <t xml:space="preserve">Olivia Brown</t>
  </si>
  <si>
    <t xml:space="preserve">Insurance</t>
  </si>
  <si>
    <t xml:space="preserve">Apr</t>
  </si>
  <si>
    <t xml:space="preserve">Necklace</t>
  </si>
  <si>
    <t xml:space="preserve">David Khan</t>
  </si>
  <si>
    <t xml:space="preserve">Staff Wages</t>
  </si>
  <si>
    <t xml:space="preserve">May</t>
  </si>
  <si>
    <t xml:space="preserve">Pendant</t>
  </si>
  <si>
    <t xml:space="preserve">Marketing</t>
  </si>
  <si>
    <t xml:space="preserve">Jun</t>
  </si>
  <si>
    <t xml:space="preserve">Earrings</t>
  </si>
  <si>
    <t xml:space="preserve">Stock Insurance</t>
  </si>
  <si>
    <t xml:space="preserve">Jul</t>
  </si>
  <si>
    <t xml:space="preserve">Chain</t>
  </si>
  <si>
    <t xml:space="preserve">Business Rates</t>
  </si>
  <si>
    <t xml:space="preserve">Aug</t>
  </si>
  <si>
    <t xml:space="preserve">Gold</t>
  </si>
  <si>
    <t xml:space="preserve">Software</t>
  </si>
  <si>
    <t xml:space="preserve">Sep</t>
  </si>
  <si>
    <t xml:space="preserve">Diamond Jewellery</t>
  </si>
  <si>
    <t xml:space="preserve">Miscellaneous</t>
  </si>
  <si>
    <t xml:space="preserve">Oct</t>
  </si>
  <si>
    <t xml:space="preserve">Other</t>
  </si>
  <si>
    <t xml:space="preserve">Nov</t>
  </si>
  <si>
    <t xml:space="preserve">Dec</t>
  </si>
  <si>
    <t xml:space="preserve">PARTNER CONTRIBUTIONS vs REIMBURSEMENTS</t>
  </si>
  <si>
    <t xml:space="preserve">Partner</t>
  </si>
  <si>
    <t xml:space="preserve">Introduced</t>
  </si>
  <si>
    <t xml:space="preserve">Reimbursed</t>
  </si>
  <si>
    <t xml:space="preserve">Partner 1</t>
  </si>
  <si>
    <t xml:space="preserve">Partner 2</t>
  </si>
  <si>
    <t xml:space="preserve">Partner 3</t>
  </si>
  <si>
    <t xml:space="preserve">READ ME — How to use this workbook</t>
  </si>
  <si>
    <t xml:space="preserve">Jewellery &amp; Luxury Watch Shop Management System · Version 1 · GBP (£) · Dates DD/MM/YYYY</t>
  </si>
  <si>
    <t xml:space="preserve">Colour key</t>
  </si>
  <si>
    <t xml:space="preserve">Cream cells</t>
  </si>
  <si>
    <t xml:space="preserve">You type here (data entry). Example: Purchase Price, Selling Price, dropdowns.</t>
  </si>
  <si>
    <t xml:space="preserve">Grey cells</t>
  </si>
  <si>
    <t xml:space="preserve">Calculated automatically by formula — do not type over these. They are protected.</t>
  </si>
  <si>
    <t xml:space="preserve">Gold band</t>
  </si>
  <si>
    <t xml:space="preserve">Section headings / key totals.</t>
  </si>
  <si>
    <t xml:space="preserve">Red highlight</t>
  </si>
  <si>
    <t xml:space="preserve">A warning that needs attention (below minimum price, missing stock, overdue, negative margin).</t>
  </si>
  <si>
    <t xml:space="preserve">Getting started — enter your data in this order</t>
  </si>
  <si>
    <t xml:space="preserve">1. SETTINGS — rename Partner 1/2/3 to real names, set staff names, check ownership % totals 100%.</t>
  </si>
  <si>
    <t xml:space="preserve">2. INVENTORY MASTER — add every item of current stock (use the ID helper on SETTINGS for the next WAT-/JWL- number).</t>
  </si>
  <si>
    <t xml:space="preserve">3. PARTNER CONTRIBUTIONS — record who personally funded each item / cost, and whether it is a loan or capital.</t>
  </si>
  <si>
    <t xml:space="preserve">4. BUILDING &amp; SETUP + EXPENSES — enter refurbishment, rent and other business costs.</t>
  </si>
  <si>
    <t xml:space="preserve">5. SALES — record each sale by Stock ID; cost and profit fill in automatically.</t>
  </si>
  <si>
    <t xml:space="preserve">6. Check the DASHBOARD — all KPIs, charts and warnings update automatically.</t>
  </si>
  <si>
    <t xml:space="preserve">Partner accounting principle (important)</t>
  </si>
  <si>
    <t xml:space="preserve">Paid By ≠ Ownership</t>
  </si>
  <si>
    <t xml:space="preserve">Who paid for an item does NOT mean they own it. Record the funding nature (Partner Loan / Capital / Business Purchase) in 'Funding Type' and log every partner payment in PARTNER CONTRIBUTIONS.</t>
  </si>
  <si>
    <t xml:space="preserve">What the business owes</t>
  </si>
  <si>
    <t xml:space="preserve">PARTNER CONTRIBUTIONS keeps a running current-account: Amount introduced − Reimbursed = Outstanding. PARTNER SUMMARY and the DASHBOARD show what is owed to each partner.</t>
  </si>
  <si>
    <t xml:space="preserve">Profit is NOT auto-split</t>
  </si>
  <si>
    <t xml:space="preserve">Ownership % on SETTINGS is informational only. Profit is not divided automatically because ownership may differ from funding.</t>
  </si>
  <si>
    <t xml:space="preserve">Profit levels</t>
  </si>
  <si>
    <t xml:space="preserve">Item gross profit</t>
  </si>
  <si>
    <t xml:space="preserve">Selling Price − Landed Cost (per item). Rent/overheads do NOT affect item gross profit.</t>
  </si>
  <si>
    <t xml:space="preserve">Net trading result</t>
  </si>
  <si>
    <t xml:space="preserve">Total gross profit − operating expenses. Shown on the DASHBOARD and MONTH-END sheets.</t>
  </si>
  <si>
    <t xml:space="preserve">Adding a PHOTO to each item</t>
  </si>
  <si>
    <t xml:space="preserve">Best method (Excel 365)</t>
  </si>
  <si>
    <t xml:space="preserve">On INVENTORY MASTER, click the 'Photo' cell for the row, then Insert &gt; Pictures &gt; Place in Cell &gt; This Device. The picture sits inside the cell and sorts/filters with the item.</t>
  </si>
  <si>
    <t xml:space="preserve">Any Excel version</t>
  </si>
  <si>
    <t xml:space="preserve">Save each photo in a folder (or cloud) and put its file path or URL in the 'Photo/Document Link' column.</t>
  </si>
  <si>
    <t xml:space="preserve">Sample images</t>
  </si>
  <si>
    <t xml:space="preserve">The example rows show floating placeholder pictures so you can see the idea — delete them and use Place in Cell for real stock.</t>
  </si>
  <si>
    <t xml:space="preserve">Model vs Serial</t>
  </si>
  <si>
    <t xml:space="preserve">'Model/Ref Number' (e.g. 126610LN) and 'Serial Number' (the unique piece number) are separate columns — fill in both. Watch Details repeats them for watches.</t>
  </si>
  <si>
    <t xml:space="preserve">Buying in USD, Dirham (AED) or other currencies</t>
  </si>
  <si>
    <t xml:space="preserve">1. Pick the currency</t>
  </si>
  <si>
    <t xml:space="preserve">On INVENTORY MASTER set 'Purchase Currency' (GBP, USD, AED, EUR...) from the dropdown.</t>
  </si>
  <si>
    <t xml:space="preserve">2. Enter the foreign price</t>
  </si>
  <si>
    <t xml:space="preserve">Type what you paid in that currency in 'Original Purchase Price' (e.g. 22,000 for AED 22,000).</t>
  </si>
  <si>
    <t xml:space="preserve">3. Rate to GBP</t>
  </si>
  <si>
    <t xml:space="preserve">Type the exchange rate you got in 'FX Rate to GBP' (GBP per 1 unit, e.g. USD 0.79). Leave it blank to use the indicative rate on SETTINGS.</t>
  </si>
  <si>
    <t xml:space="preserve">Result</t>
  </si>
  <si>
    <t xml:space="preserve">'Purchase Price (GBP)' converts automatically (Original x rate). All profit, stock value and dashboard figures then use the GBP amount — GBP rows always use rate 1.</t>
  </si>
  <si>
    <t xml:space="preserve">Update rates</t>
  </si>
  <si>
    <t xml:space="preserve">Maintain the CURRENCIES &amp; FX RATES table on SETTINGS. Historical buys keep the exact rate typed on their row, so past costs never change when today's rates move.</t>
  </si>
  <si>
    <t xml:space="preserve">Notes &amp; limitations</t>
  </si>
  <si>
    <t xml:space="preserve">Example rows</t>
  </si>
  <si>
    <t xml:space="preserve">Rows marked 'EXAMPLE' are dummy data — delete them before going live.</t>
  </si>
  <si>
    <t xml:space="preserve">Protection / password</t>
  </si>
  <si>
    <t xml:space="preserve">Every sheet is READ-ONLY and password protected — staff can view, select, copy and filter, but cannot change anything. A PARTNER edits by: Review ▸ Unprotect Sheet ▸ enter password 643216 ▸ make changes ▸ Review ▸ Protect Sheet (re-enter 643216). The workbook structure is also locked (no adding/removing sheets).</t>
  </si>
  <si>
    <t xml:space="preserve">Change the password</t>
  </si>
  <si>
    <t xml:space="preserve">Do it per sheet in Excel: Review ▸ Unprotect Sheet (643216), then Review ▸ Protect Sheet and type a new password. Repeat for each sheet, and Review ▸ Protect Workbook for the structure. Keep the password safe — it cannot be recovered if lost.</t>
  </si>
  <si>
    <t xml:space="preserve">Open-password (optional)</t>
  </si>
  <si>
    <t xml:space="preserve">To also require a password just to OPEN the file, do it in Excel: File ▸ Info ▸ Protect Workbook ▸ Encrypt with Password. (This can only be set in Excel, not generated here.)</t>
  </si>
  <si>
    <t xml:space="preserve">Who changed what</t>
  </si>
  <si>
    <t xml:space="preserve">Excel cannot auto-log edits without a macro. Record price changes, write-offs and refunds in the AUDIT LOG sheet. Ask if you'd like an automatic macro-based log (.xlsm).</t>
  </si>
  <si>
    <t xml:space="preserve">Slicers / PivotTables</t>
  </si>
  <si>
    <t xml:space="preserve">Native Excel slicers and PivotTables can be added on top; summary tables here use SUMIFS/COUNTIFS so the file recalculates everywhere, including in the browser.</t>
  </si>
  <si>
    <t xml:space="preserve">Migration</t>
  </si>
  <si>
    <t xml:space="preserve">Each sheet is a clean table keyed by Stock ID / IDs, ready to export to Airtable, a database or a POS/inventory app.</t>
  </si>
  <si>
    <t xml:space="preserve">INVENTORY MASTER</t>
  </si>
  <si>
    <t xml:space="preserve">Every physical item entering the business. Cream = you enter · Grey = auto-calculated. 'Paid By' does NOT mean ownership — record ownership in Funding Type &amp; the Partner ledger.</t>
  </si>
  <si>
    <t xml:space="preserve">Stock ID</t>
  </si>
  <si>
    <t xml:space="preserve">Photo</t>
  </si>
  <si>
    <t xml:space="preserve">Barcode/QR Ref</t>
  </si>
  <si>
    <t xml:space="preserve">Date Purchased</t>
  </si>
  <si>
    <t xml:space="preserve">Subcategory</t>
  </si>
  <si>
    <t xml:space="preserve">Brand</t>
  </si>
  <si>
    <t xml:space="preserve">Model</t>
  </si>
  <si>
    <t xml:space="preserve">Model/Ref Number</t>
  </si>
  <si>
    <t xml:space="preserve">Serial Number</t>
  </si>
  <si>
    <t xml:space="preserve">Description</t>
  </si>
  <si>
    <t xml:space="preserve">Metal</t>
  </si>
  <si>
    <t xml:space="preserve">Metal Purity</t>
  </si>
  <si>
    <t xml:space="preserve">Weight (g)</t>
  </si>
  <si>
    <t xml:space="preserve">Stone Type</t>
  </si>
  <si>
    <t xml:space="preserve">Stone Carat</t>
  </si>
  <si>
    <t xml:space="preserve">Diamond Colour</t>
  </si>
  <si>
    <t xml:space="preserve">Diamond Clarity</t>
  </si>
  <si>
    <t xml:space="preserve">Ring Size</t>
  </si>
  <si>
    <t xml:space="preserve">Watch Case Size</t>
  </si>
  <si>
    <t xml:space="preserve">Watch Movement</t>
  </si>
  <si>
    <t xml:space="preserve">Watch Year</t>
  </si>
  <si>
    <t xml:space="preserve">Box Included</t>
  </si>
  <si>
    <t xml:space="preserve">Papers Included</t>
  </si>
  <si>
    <t xml:space="preserve">Warranty Included</t>
  </si>
  <si>
    <t xml:space="preserve">Condition</t>
  </si>
  <si>
    <t xml:space="preserve">Supplier Name</t>
  </si>
  <si>
    <t xml:space="preserve">Supplier Type</t>
  </si>
  <si>
    <t xml:space="preserve">Supplier Invoice Ref</t>
  </si>
  <si>
    <t xml:space="preserve">Purchase Currency</t>
  </si>
  <si>
    <t xml:space="preserve">Original Purchase Price</t>
  </si>
  <si>
    <t xml:space="preserve">FX Rate to GBP</t>
  </si>
  <si>
    <t xml:space="preserve">Purchase Price (GBP)</t>
  </si>
  <si>
    <t xml:space="preserve">Additional Costs</t>
  </si>
  <si>
    <t xml:space="preserve">Total Landed Cost</t>
  </si>
  <si>
    <t xml:space="preserve">Paid By</t>
  </si>
  <si>
    <t xml:space="preserve">Funding Type</t>
  </si>
  <si>
    <t xml:space="preserve">Ownership/Funding Notes</t>
  </si>
  <si>
    <t xml:space="preserve">Target Selling Price</t>
  </si>
  <si>
    <t xml:space="preserve">Minimum Selling Price</t>
  </si>
  <si>
    <t xml:space="preserve">Current Advertised Price</t>
  </si>
  <si>
    <t xml:space="preserve">Expected Gross Profit</t>
  </si>
  <si>
    <t xml:space="preserve">Expected Margin %</t>
  </si>
  <si>
    <t xml:space="preserve">Current Location</t>
  </si>
  <si>
    <t xml:space="preserve">Stock Status</t>
  </si>
  <si>
    <t xml:space="preserve">Date Sold</t>
  </si>
  <si>
    <t xml:space="preserve">Actual Selling Price</t>
  </si>
  <si>
    <t xml:space="preserve">Actual Gross Profit</t>
  </si>
  <si>
    <t xml:space="preserve">Actual Margin %</t>
  </si>
  <si>
    <t xml:space="preserve">Salesperson</t>
  </si>
  <si>
    <t xml:space="preserve">Customer/Invoice Ref</t>
  </si>
  <si>
    <t xml:space="preserve">Payment Method</t>
  </si>
  <si>
    <t xml:space="preserve">Photo/Document Link</t>
  </si>
  <si>
    <t xml:space="preserve">Notes</t>
  </si>
  <si>
    <t xml:space="preserve">WAT-0001</t>
  </si>
  <si>
    <t xml:space="preserve">BC100001</t>
  </si>
  <si>
    <t xml:space="preserve">Luxury Watch</t>
  </si>
  <si>
    <t xml:space="preserve">Rolex</t>
  </si>
  <si>
    <t xml:space="preserve">Submariner</t>
  </si>
  <si>
    <t xml:space="preserve">126610LN</t>
  </si>
  <si>
    <t xml:space="preserve">ROL123456</t>
  </si>
  <si>
    <t xml:space="preserve">Rolex Submariner Date 41mm, black dial</t>
  </si>
  <si>
    <t xml:space="preserve">41mm</t>
  </si>
  <si>
    <t xml:space="preserve">Automatic</t>
  </si>
  <si>
    <t xml:space="preserve">Yes</t>
  </si>
  <si>
    <t xml:space="preserve">Excellent</t>
  </si>
  <si>
    <t xml:space="preserve">Prestige Watch Co</t>
  </si>
  <si>
    <t xml:space="preserve">Watch Dealer</t>
  </si>
  <si>
    <t xml:space="preserve">PWC-4471</t>
  </si>
  <si>
    <t xml:space="preserve">GBP</t>
  </si>
  <si>
    <t xml:space="preserve">Partner Loan</t>
  </si>
  <si>
    <t xml:space="preserve">EXAMPLE – funded personally by Partner 1; business owes reimbursement</t>
  </si>
  <si>
    <t xml:space="preserve">Shop Safe</t>
  </si>
  <si>
    <t xml:space="preserve">Sold</t>
  </si>
  <si>
    <t xml:space="preserve">INV-1001</t>
  </si>
  <si>
    <t xml:space="preserve">Bank Transfer</t>
  </si>
  <si>
    <t xml:space="preserve">link/wat-0001.jpg</t>
  </si>
  <si>
    <t xml:space="preserve">EXAMPLE ROW – safe to delete</t>
  </si>
  <si>
    <t xml:space="preserve">JWL-0001</t>
  </si>
  <si>
    <t xml:space="preserve">BC200001</t>
  </si>
  <si>
    <t xml:space="preserve">Solitaire Ring</t>
  </si>
  <si>
    <t xml:space="preserve">Bespoke</t>
  </si>
  <si>
    <t xml:space="preserve">Solitaire</t>
  </si>
  <si>
    <t xml:space="preserve">Platinum solitaire diamond ring 1.01ct</t>
  </si>
  <si>
    <t xml:space="preserve">Platinum</t>
  </si>
  <si>
    <t xml:space="preserve">950 Platinum</t>
  </si>
  <si>
    <t xml:space="preserve">Diamond</t>
  </si>
  <si>
    <t xml:space="preserve">F</t>
  </si>
  <si>
    <t xml:space="preserve">VS1</t>
  </si>
  <si>
    <t xml:space="preserve">M</t>
  </si>
  <si>
    <t xml:space="preserve">New</t>
  </si>
  <si>
    <t xml:space="preserve">Hatton Diamonds</t>
  </si>
  <si>
    <t xml:space="preserve">Jewellery Dealer</t>
  </si>
  <si>
    <t xml:space="preserve">HD-9987</t>
  </si>
  <si>
    <t xml:space="preserve">EXAMPLE – funded personally by Partner 2</t>
  </si>
  <si>
    <t xml:space="preserve">Shop Display</t>
  </si>
  <si>
    <t xml:space="preserve">Available</t>
  </si>
  <si>
    <t xml:space="preserve">link/jwl-0001.jpg</t>
  </si>
  <si>
    <t xml:space="preserve">WAT-0002</t>
  </si>
  <si>
    <t xml:space="preserve">BC100002</t>
  </si>
  <si>
    <t xml:space="preserve">Omega</t>
  </si>
  <si>
    <t xml:space="preserve">Speedmaster</t>
  </si>
  <si>
    <t xml:space="preserve">310.30.42</t>
  </si>
  <si>
    <t xml:space="preserve">OMG789012</t>
  </si>
  <si>
    <t xml:space="preserve">Omega Speedmaster Moonwatch 42mm</t>
  </si>
  <si>
    <t xml:space="preserve">42mm</t>
  </si>
  <si>
    <t xml:space="preserve">Manual</t>
  </si>
  <si>
    <t xml:space="preserve">No</t>
  </si>
  <si>
    <t xml:space="preserve">Very Good</t>
  </si>
  <si>
    <t xml:space="preserve">City Auctions</t>
  </si>
  <si>
    <t xml:space="preserve">Auction</t>
  </si>
  <si>
    <t xml:space="preserve">CA-2201</t>
  </si>
  <si>
    <t xml:space="preserve">USD</t>
  </si>
  <si>
    <t xml:space="preserve">Business Bank Account</t>
  </si>
  <si>
    <t xml:space="preserve">Business Purchase</t>
  </si>
  <si>
    <t xml:space="preserve">EXAMPLE – bought in US Dollars ($4,000 × 0.79 = £3,160)</t>
  </si>
  <si>
    <t xml:space="preserve">link/wat-0002.jpg</t>
  </si>
  <si>
    <t xml:space="preserve">JWL-0002</t>
  </si>
  <si>
    <t xml:space="preserve">BC200002</t>
  </si>
  <si>
    <t xml:space="preserve">Chain Necklace</t>
  </si>
  <si>
    <t xml:space="preserve">Belcher Chain</t>
  </si>
  <si>
    <t xml:space="preserve">18ct yellow gold belcher chain necklace</t>
  </si>
  <si>
    <t xml:space="preserve">18ct</t>
  </si>
  <si>
    <t xml:space="preserve">Goldsmith Wholesale</t>
  </si>
  <si>
    <t xml:space="preserve">Wholesaler</t>
  </si>
  <si>
    <t xml:space="preserve">GW-5540</t>
  </si>
  <si>
    <t xml:space="preserve">EXAMPLE – business owned stock</t>
  </si>
  <si>
    <t xml:space="preserve">link/jwl-0002.jpg</t>
  </si>
  <si>
    <t xml:space="preserve">WAT-0003</t>
  </si>
  <si>
    <t xml:space="preserve">BC100003</t>
  </si>
  <si>
    <t xml:space="preserve">Cartier</t>
  </si>
  <si>
    <t xml:space="preserve">Santos</t>
  </si>
  <si>
    <t xml:space="preserve">WSSA0018</t>
  </si>
  <si>
    <t xml:space="preserve">CAR334455</t>
  </si>
  <si>
    <t xml:space="preserve">Cartier Santos Medium steel</t>
  </si>
  <si>
    <t xml:space="preserve">35mm</t>
  </si>
  <si>
    <t xml:space="preserve">Private Seller</t>
  </si>
  <si>
    <t xml:space="preserve">PS-0007</t>
  </si>
  <si>
    <t xml:space="preserve">AED</t>
  </si>
  <si>
    <t xml:space="preserve">EXAMPLE – bought in UAE Dirham (22,000 AED × 0.215 = £4,730); with Partner 3</t>
  </si>
  <si>
    <t xml:space="preserve">With Partner</t>
  </si>
  <si>
    <t xml:space="preserve">JWL-0003</t>
  </si>
  <si>
    <t xml:space="preserve">BC200003</t>
  </si>
  <si>
    <t xml:space="preserve">Bangle</t>
  </si>
  <si>
    <t xml:space="preserve">Gold Bangle</t>
  </si>
  <si>
    <t xml:space="preserve">22ct gold hand bracelet / bangle</t>
  </si>
  <si>
    <t xml:space="preserve">22ct</t>
  </si>
  <si>
    <t xml:space="preserve">None</t>
  </si>
  <si>
    <t xml:space="preserve">GW-5541</t>
  </si>
  <si>
    <t xml:space="preserve">EXAMPLE – gold bangle; use Jewellery Details for the gold calculator</t>
  </si>
  <si>
    <t xml:space="preserve">link/jwl-0003.jpg</t>
  </si>
  <si>
    <t xml:space="preserve">EXAMPLE bracelet – safe to delete</t>
  </si>
  <si>
    <t xml:space="preserve">WATCH DETAILS</t>
  </si>
  <si>
    <t xml:space="preserve">Watch-specific view. Enter a Stock ID (dropdown) — details pull automatically from Inventory Master. Cream fields are watch-only extras you can enter.</t>
  </si>
  <si>
    <t xml:space="preserve">Reference Number</t>
  </si>
  <si>
    <t xml:space="preserve">Year</t>
  </si>
  <si>
    <t xml:space="preserve">Case Size</t>
  </si>
  <si>
    <t xml:space="preserve">Case Material</t>
  </si>
  <si>
    <t xml:space="preserve">Dial Colour</t>
  </si>
  <si>
    <t xml:space="preserve">Bracelet/Strap</t>
  </si>
  <si>
    <t xml:space="preserve">Movement</t>
  </si>
  <si>
    <t xml:space="preserve">Auto/Manual/Quartz</t>
  </si>
  <si>
    <t xml:space="preserve">Box</t>
  </si>
  <si>
    <t xml:space="preserve">Papers</t>
  </si>
  <si>
    <t xml:space="preserve">Warranty Card</t>
  </si>
  <si>
    <t xml:space="preserve">Warranty Date</t>
  </si>
  <si>
    <t xml:space="preserve">Service History</t>
  </si>
  <si>
    <t xml:space="preserve">Last Service</t>
  </si>
  <si>
    <t xml:space="preserve">Purchase Cost</t>
  </si>
  <si>
    <t xml:space="preserve">Target Price</t>
  </si>
  <si>
    <t xml:space="preserve">Current Price</t>
  </si>
  <si>
    <t xml:space="preserve">Status</t>
  </si>
  <si>
    <t xml:space="preserve">Location</t>
  </si>
  <si>
    <t xml:space="preserve">JEWELLERY DETAILS</t>
  </si>
  <si>
    <t xml:space="preserve">Jewellery view with a gold calculator. Enter a Stock ID; details pull from Inventory. Enter Gold Rate/g, Stone Cost and Buy/Sell % — Metal Value, Implied Buy Cost &amp; Suggested Sell calculate automatically.</t>
  </si>
  <si>
    <t xml:space="preserve">Jewellery Type</t>
  </si>
  <si>
    <t xml:space="preserve">Purity</t>
  </si>
  <si>
    <t xml:space="preserve">Gold Rate (£/g)</t>
  </si>
  <si>
    <t xml:space="preserve">Metal Value (£)</t>
  </si>
  <si>
    <t xml:space="preserve">Stone</t>
  </si>
  <si>
    <t xml:space="preserve">Stone Cost (£)</t>
  </si>
  <si>
    <t xml:space="preserve">Buy Premium %</t>
  </si>
  <si>
    <t xml:space="preserve">Implied Buy Cost (£)</t>
  </si>
  <si>
    <t xml:space="preserve">Sell Premium %</t>
  </si>
  <si>
    <t xml:space="preserve">Suggested Sell (£)</t>
  </si>
  <si>
    <t xml:space="preserve">Cut</t>
  </si>
  <si>
    <t xml:space="preserve">Certificate Number</t>
  </si>
  <si>
    <t xml:space="preserve">Laboratory</t>
  </si>
  <si>
    <t xml:space="preserve">Purchase Price</t>
  </si>
  <si>
    <t xml:space="preserve">Cost Per Gram</t>
  </si>
  <si>
    <t xml:space="preserve">Current Selling Price</t>
  </si>
  <si>
    <t xml:space="preserve">Sales transactions. Enter Sale ID, Date, Stock ID (dropdown), Salesperson &amp; Selling Price — cost/description/profit calculate automatically. Rows below the minimum price are highlighted red.</t>
  </si>
  <si>
    <t xml:space="preserve">Sale ID</t>
  </si>
  <si>
    <t xml:space="preserve">Sale Date</t>
  </si>
  <si>
    <t xml:space="preserve">Item Description</t>
  </si>
  <si>
    <t xml:space="preserve">Customer Name/Ref</t>
  </si>
  <si>
    <t xml:space="preserve">Invoice Number</t>
  </si>
  <si>
    <t xml:space="preserve">Cost Price</t>
  </si>
  <si>
    <t xml:space="preserve">Advertised Price</t>
  </si>
  <si>
    <t xml:space="preserve">Selling Price</t>
  </si>
  <si>
    <t xml:space="preserve">Discount Amount</t>
  </si>
  <si>
    <t xml:space="preserve">Discount %</t>
  </si>
  <si>
    <t xml:space="preserve">Gross Margin %</t>
  </si>
  <si>
    <t xml:space="preserve">VAT Treatment</t>
  </si>
  <si>
    <t xml:space="preserve">Deposit Received</t>
  </si>
  <si>
    <t xml:space="preserve">Balance Received</t>
  </si>
  <si>
    <t xml:space="preserve">Amount Outstanding</t>
  </si>
  <si>
    <t xml:space="preserve">Payment Status</t>
  </si>
  <si>
    <t xml:space="preserve">Trade-In</t>
  </si>
  <si>
    <t xml:space="preserve">Trade-In Value</t>
  </si>
  <si>
    <t xml:space="preserve">Refund/Return</t>
  </si>
  <si>
    <t xml:space="preserve">SALE-0001</t>
  </si>
  <si>
    <t xml:space="preserve">C-001 (J. Smith)</t>
  </si>
  <si>
    <t xml:space="preserve">Margin Scheme</t>
  </si>
  <si>
    <t xml:space="preserve">Paid</t>
  </si>
  <si>
    <t xml:space="preserve">EXAMPLE completed sale – safe to delete</t>
  </si>
  <si>
    <t xml:space="preserve">PARTNER CONTRIBUTIONS</t>
  </si>
  <si>
    <t xml:space="preserve">Every pound a partner introduces (stock, rent, refurbishment, capital, loans). Outstanding = Amount − Reimbursed. This ledger is the source of truth for what the business owes each partner.</t>
  </si>
  <si>
    <t xml:space="preserve">Transaction ID</t>
  </si>
  <si>
    <t xml:space="preserve">Date</t>
  </si>
  <si>
    <t xml:space="preserve">Transaction Type</t>
  </si>
  <si>
    <t xml:space="preserve">Related Stock ID</t>
  </si>
  <si>
    <t xml:space="preserve">Related Expense ID</t>
  </si>
  <si>
    <t xml:space="preserve">Business Purpose</t>
  </si>
  <si>
    <t xml:space="preserve">Reimbursed Amount</t>
  </si>
  <si>
    <t xml:space="preserve">Reimbursement Date</t>
  </si>
  <si>
    <t xml:space="preserve">PC-0001</t>
  </si>
  <si>
    <t xml:space="preserve">Stock Purchase</t>
  </si>
  <si>
    <t xml:space="preserve">Rolex Submariner purchase</t>
  </si>
  <si>
    <t xml:space="preserve">Stock funded personally by Partner 1</t>
  </si>
  <si>
    <t xml:space="preserve">EXAMPLE – safe to delete</t>
  </si>
  <si>
    <t xml:space="preserve">PC-0002</t>
  </si>
  <si>
    <t xml:space="preserve">Platinum diamond ring purchase</t>
  </si>
  <si>
    <t xml:space="preserve">Debit Card</t>
  </si>
  <si>
    <t xml:space="preserve">Stock funded personally by Partner 2</t>
  </si>
  <si>
    <t xml:space="preserve">PC-0003</t>
  </si>
  <si>
    <t xml:space="preserve">Building Works</t>
  </si>
  <si>
    <t xml:space="preserve">Shop refurbishment – shopfitting</t>
  </si>
  <si>
    <t xml:space="preserve">EXP-0002</t>
  </si>
  <si>
    <t xml:space="preserve">Refurbishment funded personally by Partner 3</t>
  </si>
  <si>
    <t xml:space="preserve">EXAMPLE – partly reimbursed</t>
  </si>
  <si>
    <t xml:space="preserve">PC-0004</t>
  </si>
  <si>
    <t xml:space="preserve">Capital Contribution</t>
  </si>
  <si>
    <t xml:space="preserve">Opening capital introduced</t>
  </si>
  <si>
    <t xml:space="preserve">Working capital</t>
  </si>
  <si>
    <t xml:space="preserve">PC-0005</t>
  </si>
  <si>
    <t xml:space="preserve">Cartier Santos purchase (paid in AED)</t>
  </si>
  <si>
    <t xml:space="preserve">Stock funded personally by Partner 3</t>
  </si>
  <si>
    <t xml:space="preserve">PARTNER SUMMARY</t>
  </si>
  <si>
    <t xml:space="preserve">Financial position of each partner. All figures pull from the Partner Contributions ledger. Ownership % is informational only and is NOT used to split profit automatically.</t>
  </si>
  <si>
    <t xml:space="preserve">Ownership % (from Settings — informational):</t>
  </si>
  <si>
    <t xml:space="preserve">Metric</t>
  </si>
  <si>
    <t xml:space="preserve">Combined Total</t>
  </si>
  <si>
    <t xml:space="preserve">Stock purchases personally funded</t>
  </si>
  <si>
    <t xml:space="preserve">Rent personally funded</t>
  </si>
  <si>
    <t xml:space="preserve">Building / refurbishment funded</t>
  </si>
  <si>
    <t xml:space="preserve">Other business expenses funded</t>
  </si>
  <si>
    <t xml:space="preserve">Capital contributions</t>
  </si>
  <si>
    <t xml:space="preserve">Partner loans</t>
  </si>
  <si>
    <t xml:space="preserve">TOTAL FUNDS INTRODUCED</t>
  </si>
  <si>
    <t xml:space="preserve">Amount reimbursed</t>
  </si>
  <si>
    <t xml:space="preserve">Withdrawals / distributions</t>
  </si>
  <si>
    <t xml:space="preserve">CURRENT AMOUNT OWED TO PARTNER</t>
  </si>
  <si>
    <t xml:space="preserve">NET PARTNER POSITION</t>
  </si>
  <si>
    <t xml:space="preserve">Note: 'Paid By' ≠ ownership. This summary tracks funding &amp; reimbursement only. Profit is NOT auto-split — ownership % above is informational unless you choose to apply it.</t>
  </si>
  <si>
    <t xml:space="preserve">EXPENSES</t>
  </si>
  <si>
    <t xml:space="preserve">Complete operating-expense ledger. Gross = Net + VAT (auto). Analyse monthly/annually via the Dashboard. Where 'Paid By' is a partner, also record it in Partner Contributions.</t>
  </si>
  <si>
    <t xml:space="preserve">Expense ID</t>
  </si>
  <si>
    <t xml:space="preserve">Supplier</t>
  </si>
  <si>
    <t xml:space="preserve">Expense Category</t>
  </si>
  <si>
    <t xml:space="preserve">Invoice/Receipt No</t>
  </si>
  <si>
    <t xml:space="preserve">Net Amount</t>
  </si>
  <si>
    <t xml:space="preserve">VAT</t>
  </si>
  <si>
    <t xml:space="preserve">Gross Amount</t>
  </si>
  <si>
    <t xml:space="preserve">Recurring?</t>
  </si>
  <si>
    <t xml:space="preserve">Related Partner Contribution?</t>
  </si>
  <si>
    <t xml:space="preserve">Reimbursed?</t>
  </si>
  <si>
    <t xml:space="preserve">Receipt Link</t>
  </si>
  <si>
    <t xml:space="preserve">EXP-0001</t>
  </si>
  <si>
    <t xml:space="preserve">City Lettings</t>
  </si>
  <si>
    <t xml:space="preserve">Monthly shop rent February</t>
  </si>
  <si>
    <t xml:space="preserve">RENT-0202</t>
  </si>
  <si>
    <t xml:space="preserve">Prestige Shopfitters</t>
  </si>
  <si>
    <t xml:space="preserve">Shop refurbishment &amp; shopfitting</t>
  </si>
  <si>
    <t xml:space="preserve">PSF-1188</t>
  </si>
  <si>
    <t xml:space="preserve">EXAMPLE refurbishment paid by Partner 3 – mirrored in PC-0003</t>
  </si>
  <si>
    <t xml:space="preserve">EXP-0003</t>
  </si>
  <si>
    <t xml:space="preserve">SecureCover Insurance</t>
  </si>
  <si>
    <t xml:space="preserve">Stock &amp; premises insurance</t>
  </si>
  <si>
    <t xml:space="preserve">SC-7742</t>
  </si>
  <si>
    <t xml:space="preserve">BUILDING &amp; SETUP COSTS</t>
  </si>
  <si>
    <t xml:space="preserve">Initial shop set-up project costs. Variance = Budget − Actual. Outstanding = Actual − Reimbursed. Summary totals shown to the right.</t>
  </si>
  <si>
    <t xml:space="preserve">Project Cost ID</t>
  </si>
  <si>
    <t xml:space="preserve">Contractor/Supplier</t>
  </si>
  <si>
    <t xml:space="preserve">Original Budget</t>
  </si>
  <si>
    <t xml:space="preserve">Actual Cost</t>
  </si>
  <si>
    <t xml:space="preserve">Variance</t>
  </si>
  <si>
    <t xml:space="preserve">Amount Reimbursed</t>
  </si>
  <si>
    <t xml:space="preserve">Completion Status</t>
  </si>
  <si>
    <t xml:space="preserve">SET-UP COST SUMMARY</t>
  </si>
  <si>
    <t xml:space="preserve">PROJ-0001</t>
  </si>
  <si>
    <t xml:space="preserve">Construction</t>
  </si>
  <si>
    <t xml:space="preserve">Full shop refurbishment &amp; fit-out</t>
  </si>
  <si>
    <t xml:space="preserve">Completed</t>
  </si>
  <si>
    <t xml:space="preserve">EXAMPLE – funded by Partner 3 (see PC-0003)</t>
  </si>
  <si>
    <t xml:space="preserve">Total Budget</t>
  </si>
  <si>
    <t xml:space="preserve">PROJ-0002</t>
  </si>
  <si>
    <t xml:space="preserve">Display Cabinets</t>
  </si>
  <si>
    <t xml:space="preserve">LuxDisplay Ltd</t>
  </si>
  <si>
    <t xml:space="preserve">Lockable glass display cabinets x4</t>
  </si>
  <si>
    <t xml:space="preserve">LUX-4410</t>
  </si>
  <si>
    <t xml:space="preserve">Total Actual Spend</t>
  </si>
  <si>
    <t xml:space="preserve">PROJ-0003</t>
  </si>
  <si>
    <t xml:space="preserve">Safe</t>
  </si>
  <si>
    <t xml:space="preserve">FortKnox Safes</t>
  </si>
  <si>
    <t xml:space="preserve">Grade 5 retail safe</t>
  </si>
  <si>
    <t xml:space="preserve">FK-2290</t>
  </si>
  <si>
    <t xml:space="preserve">Budget Variance</t>
  </si>
  <si>
    <t xml:space="preserve">Funded by Partner 1</t>
  </si>
  <si>
    <t xml:space="preserve">Funded by Partner 2</t>
  </si>
  <si>
    <t xml:space="preserve">Funded by Partner 3</t>
  </si>
  <si>
    <t xml:space="preserve">Funded by Business</t>
  </si>
  <si>
    <t xml:space="preserve">Outstanding Reimbursements</t>
  </si>
  <si>
    <t xml:space="preserve">STOCK MOVEMENT LOG</t>
  </si>
  <si>
    <t xml:space="preserve">High-value control: log every time an item leaves its location. Overdue items (past Expected Return Date and not returned) are highlighted red.</t>
  </si>
  <si>
    <t xml:space="preserve">Movement ID</t>
  </si>
  <si>
    <t xml:space="preserve">Time</t>
  </si>
  <si>
    <t xml:space="preserve">Item</t>
  </si>
  <si>
    <t xml:space="preserve">Previous Location</t>
  </si>
  <si>
    <t xml:space="preserve">New Location</t>
  </si>
  <si>
    <t xml:space="preserve">Person Taking Item</t>
  </si>
  <si>
    <t xml:space="preserve">Staff Authorising</t>
  </si>
  <si>
    <t xml:space="preserve">Reason</t>
  </si>
  <si>
    <t xml:space="preserve">Expected Return Date</t>
  </si>
  <si>
    <t xml:space="preserve">Actual Return Date</t>
  </si>
  <si>
    <t xml:space="preserve">Returned?</t>
  </si>
  <si>
    <t xml:space="preserve">MOV-0001</t>
  </si>
  <si>
    <t xml:space="preserve">Partner Viewing</t>
  </si>
  <si>
    <t xml:space="preserve">EXAMPLE – overdue if past expected return date</t>
  </si>
  <si>
    <t xml:space="preserve">MOV-0002</t>
  </si>
  <si>
    <t xml:space="preserve">Customer</t>
  </si>
  <si>
    <t xml:space="preserve">J. Smith</t>
  </si>
  <si>
    <t xml:space="preserve">Sale</t>
  </si>
  <si>
    <t xml:space="preserve">N/A</t>
  </si>
  <si>
    <t xml:space="preserve">EXAMPLE – sold, no return expected</t>
  </si>
  <si>
    <t xml:space="preserve">STAFF</t>
  </si>
  <si>
    <t xml:space="preserve">Staff database. Sales This Month, Gross Profit, Transactions &amp; Average Sale are calculated automatically from the SALES sheet. 'This Month' uses the reporting date on the Settings sheet.</t>
  </si>
  <si>
    <t xml:space="preserve">Staff ID</t>
  </si>
  <si>
    <t xml:space="preserve">Staff Name</t>
  </si>
  <si>
    <t xml:space="preserve">Position</t>
  </si>
  <si>
    <t xml:space="preserve">Start Date</t>
  </si>
  <si>
    <t xml:space="preserve">Active?</t>
  </si>
  <si>
    <t xml:space="preserve">Sales Target</t>
  </si>
  <si>
    <t xml:space="preserve">Sales This Month</t>
  </si>
  <si>
    <t xml:space="preserve">Gross Profit Generated</t>
  </si>
  <si>
    <t xml:space="preserve">Number of Transactions</t>
  </si>
  <si>
    <t xml:space="preserve">Average Sale</t>
  </si>
  <si>
    <t xml:space="preserve">EMP-001</t>
  </si>
  <si>
    <t xml:space="preserve">Sales Manager</t>
  </si>
  <si>
    <t xml:space="preserve">EXAMPLE</t>
  </si>
  <si>
    <t xml:space="preserve">EMP-002</t>
  </si>
  <si>
    <t xml:space="preserve">Sales Associate</t>
  </si>
  <si>
    <t xml:space="preserve">EMP-003</t>
  </si>
  <si>
    <t xml:space="preserve">EMP-004</t>
  </si>
  <si>
    <t xml:space="preserve">Workshop / Repairs</t>
  </si>
  <si>
    <t xml:space="preserve">SUPPLIERS</t>
  </si>
  <si>
    <t xml:space="preserve">Supplier database. Total Purchases pulls automatically from Inventory Master (matched on Supplier Name). Enter Outstanding manually.</t>
  </si>
  <si>
    <t xml:space="preserve">Supplier ID</t>
  </si>
  <si>
    <t xml:space="preserve">Contact Name</t>
  </si>
  <si>
    <t xml:space="preserve">Telephone</t>
  </si>
  <si>
    <t xml:space="preserve">Email</t>
  </si>
  <si>
    <t xml:space="preserve">Address</t>
  </si>
  <si>
    <t xml:space="preserve">VAT Number</t>
  </si>
  <si>
    <t xml:space="preserve">Payment Terms</t>
  </si>
  <si>
    <t xml:space="preserve">Total Purchases</t>
  </si>
  <si>
    <t xml:space="preserve">Outstanding Amount</t>
  </si>
  <si>
    <t xml:space="preserve">SUP-001</t>
  </si>
  <si>
    <t xml:space="preserve">Mark Reed</t>
  </si>
  <si>
    <t xml:space="preserve">020 7000 1111</t>
  </si>
  <si>
    <t xml:space="preserve">sales@prestigewatch.example</t>
  </si>
  <si>
    <t xml:space="preserve">30 days</t>
  </si>
  <si>
    <t xml:space="preserve">SUP-002</t>
  </si>
  <si>
    <t xml:space="preserve">Rachel Cohen</t>
  </si>
  <si>
    <t xml:space="preserve">020 7000 2222</t>
  </si>
  <si>
    <t xml:space="preserve">info@hattondiamonds.example</t>
  </si>
  <si>
    <t xml:space="preserve">On collection</t>
  </si>
  <si>
    <t xml:space="preserve">SUP-003</t>
  </si>
  <si>
    <t xml:space="preserve">Tom Green</t>
  </si>
  <si>
    <t xml:space="preserve">0161 000 3333</t>
  </si>
  <si>
    <t xml:space="preserve">orders@goldsmithws.example</t>
  </si>
  <si>
    <t xml:space="preserve">14 days</t>
  </si>
  <si>
    <t xml:space="preserve">CUSTOMERS</t>
  </si>
  <si>
    <t xml:space="preserve">Minimal customer reference database (avoid storing unnecessary sensitive data). Number of Purchases &amp; Total Spend auto-calculate from SALES, matched on Customer Name/Ref.</t>
  </si>
  <si>
    <t xml:space="preserve">Customer ID</t>
  </si>
  <si>
    <t xml:space="preserve">Name</t>
  </si>
  <si>
    <t xml:space="preserve">Date First Purchased</t>
  </si>
  <si>
    <t xml:space="preserve">Number of Purchases</t>
  </si>
  <si>
    <t xml:space="preserve">Total Spend</t>
  </si>
  <si>
    <t xml:space="preserve">Last Purchase</t>
  </si>
  <si>
    <t xml:space="preserve">07700 900123</t>
  </si>
  <si>
    <t xml:space="preserve">jsmith@example.com</t>
  </si>
  <si>
    <t xml:space="preserve">EXAMPLE – Total Spend / count auto from SALES. Keep data minimal (GDPR).</t>
  </si>
  <si>
    <t xml:space="preserve">RETURNS &amp; REFUNDS</t>
  </si>
  <si>
    <t xml:space="preserve">Returns &amp; refunds. Original selling price pulls from SALES (matched on Original Sale ID). Set 'New Stock Status' to Available to return an item to stock — the original SALES row is never deleted, preserving history.</t>
  </si>
  <si>
    <t xml:space="preserve">Return ID</t>
  </si>
  <si>
    <t xml:space="preserve">Original Sale ID</t>
  </si>
  <si>
    <t xml:space="preserve">Customer Reference</t>
  </si>
  <si>
    <t xml:space="preserve">Original Selling Price</t>
  </si>
  <si>
    <t xml:space="preserve">Refund Amount</t>
  </si>
  <si>
    <t xml:space="preserve">Item Condition on Return</t>
  </si>
  <si>
    <t xml:space="preserve">Returned to Stock?</t>
  </si>
  <si>
    <t xml:space="preserve">New Stock Status</t>
  </si>
  <si>
    <t xml:space="preserve">Approved By</t>
  </si>
  <si>
    <t xml:space="preserve">RET-0001</t>
  </si>
  <si>
    <t xml:space="preserve">EXAMPLE row – enter a Sale ID to auto-fill price</t>
  </si>
  <si>
    <t xml:space="preserve">Returned stock goes back to Available; original sale history is preserved.</t>
  </si>
  <si>
    <t xml:space="preserve">STOCK TAKE</t>
  </si>
  <si>
    <t xml:space="preserve">Physical stock-count reconciliation. Expected location/status/item pull from Inventory Master. 'Difference' flags MISSING or LOCATION DIFF automatically. Missing items are highlighted red.</t>
  </si>
  <si>
    <t xml:space="preserve">Stock Take Date</t>
  </si>
  <si>
    <t xml:space="preserve">Expected Location</t>
  </si>
  <si>
    <t xml:space="preserve">Expected Status</t>
  </si>
  <si>
    <t xml:space="preserve">Physically Found?</t>
  </si>
  <si>
    <t xml:space="preserve">Actual Location</t>
  </si>
  <si>
    <t xml:space="preserve">Checked By</t>
  </si>
  <si>
    <t xml:space="preserve">Difference</t>
  </si>
  <si>
    <t xml:space="preserve">STOCK TAKE SUMMARY</t>
  </si>
  <si>
    <t xml:space="preserve">Expected items (counted rows)</t>
  </si>
  <si>
    <t xml:space="preserve">Items counted (found)</t>
  </si>
  <si>
    <t xml:space="preserve">EXAMPLE – out with Partner 3 (see movement log)</t>
  </si>
  <si>
    <t xml:space="preserve">Location discrepancies</t>
  </si>
  <si>
    <t xml:space="preserve">Cost value of missing items</t>
  </si>
  <si>
    <t xml:space="preserve">MONTH-END SUMMARY</t>
  </si>
  <si>
    <t xml:space="preserve">Choose a Year and Month below — every figure recalculates for that period. Opening stock is derived: Closing − Purchases + COGS.</t>
  </si>
  <si>
    <t xml:space="preserve">Reporting Year</t>
  </si>
  <si>
    <t xml:space="preserve">Reporting Month (1-12)</t>
  </si>
  <si>
    <t xml:space="preserve">Period</t>
  </si>
  <si>
    <t xml:space="preserve">Figure</t>
  </si>
  <si>
    <t xml:space="preserve">Opening stock (at cost, derived)</t>
  </si>
  <si>
    <t xml:space="preserve">Closing − Purchases + COGS</t>
  </si>
  <si>
    <t xml:space="preserve">Purchases (stock bought in month)</t>
  </si>
  <si>
    <t xml:space="preserve">Inventory: Date Purchased in period</t>
  </si>
  <si>
    <t xml:space="preserve">Cost of goods sold (COGS)</t>
  </si>
  <si>
    <t xml:space="preserve">Cost price of items sold in period</t>
  </si>
  <si>
    <t xml:space="preserve">Closing stock (current snapshot)</t>
  </si>
  <si>
    <t xml:space="preserve">All unsold stock at landed cost</t>
  </si>
  <si>
    <t xml:space="preserve">Sales revenue</t>
  </si>
  <si>
    <t xml:space="preserve">SALES: Selling Price in period</t>
  </si>
  <si>
    <t xml:space="preserve">Gross profit</t>
  </si>
  <si>
    <t xml:space="preserve">SALES: Gross Profit in period</t>
  </si>
  <si>
    <t xml:space="preserve">Gross margin %</t>
  </si>
  <si>
    <t xml:space="preserve">Gross profit / revenue</t>
  </si>
  <si>
    <t xml:space="preserve">Operating expenses</t>
  </si>
  <si>
    <t xml:space="preserve">EXPENSES: Gross Amount in period</t>
  </si>
  <si>
    <t xml:space="preserve">Estimated operating profit</t>
  </si>
  <si>
    <t xml:space="preserve">Gross profit − expenses</t>
  </si>
  <si>
    <t xml:space="preserve">Partner contributions</t>
  </si>
  <si>
    <t xml:space="preserve">Funds introduced in period</t>
  </si>
  <si>
    <t xml:space="preserve">Partner reimbursements</t>
  </si>
  <si>
    <t xml:space="preserve">Repaid to partners in period</t>
  </si>
  <si>
    <t xml:space="preserve">Cash introduced (capital+loans)</t>
  </si>
  <si>
    <t xml:space="preserve">Capital + partner loans introduced</t>
  </si>
  <si>
    <t xml:space="preserve">Cash withdrawn</t>
  </si>
  <si>
    <t xml:space="preserve">Partner withdrawals / distributions</t>
  </si>
  <si>
    <t xml:space="preserve">SETTINGS  —  Configuration &amp; Dropdown Lists</t>
  </si>
  <si>
    <t xml:space="preserve">Single source of truth. Edit these lists to control dropdowns across the workbook. Cells in cream are safe to edit.</t>
  </si>
  <si>
    <t xml:space="preserve">Partner Names</t>
  </si>
  <si>
    <t xml:space="preserve">Staff Names</t>
  </si>
  <si>
    <t xml:space="preserve">Locations</t>
  </si>
  <si>
    <t xml:space="preserve">Categories</t>
  </si>
  <si>
    <t xml:space="preserve">Subcategories</t>
  </si>
  <si>
    <t xml:space="preserve">Payment Methods</t>
  </si>
  <si>
    <t xml:space="preserve">Expense Categories</t>
  </si>
  <si>
    <t xml:space="preserve">Funding Types</t>
  </si>
  <si>
    <t xml:space="preserve">Transaction Types</t>
  </si>
  <si>
    <t xml:space="preserve">Supplier Types</t>
  </si>
  <si>
    <t xml:space="preserve">Yes / No</t>
  </si>
  <si>
    <t xml:space="preserve">Movement Reasons</t>
  </si>
  <si>
    <t xml:space="preserve">Project Cost Categories</t>
  </si>
  <si>
    <t xml:space="preserve">REPORTING &amp; CONFIG</t>
  </si>
  <si>
    <t xml:space="preserve">Cash</t>
  </si>
  <si>
    <t xml:space="preserve">Partner Capital</t>
  </si>
  <si>
    <t xml:space="preserve">Standard VAT</t>
  </si>
  <si>
    <t xml:space="preserve">Customer Viewing</t>
  </si>
  <si>
    <t xml:space="preserve">Lease Deposit</t>
  </si>
  <si>
    <t xml:space="preserve">Not Started</t>
  </si>
  <si>
    <t xml:space="preserve">9ct</t>
  </si>
  <si>
    <t xml:space="preserve">Business Name</t>
  </si>
  <si>
    <t xml:space="preserve">Your Jewellery &amp; Watch Shop Ltd</t>
  </si>
  <si>
    <t xml:space="preserve">Vintage Watch</t>
  </si>
  <si>
    <t xml:space="preserve">Reserved</t>
  </si>
  <si>
    <t xml:space="preserve">Unworn</t>
  </si>
  <si>
    <t xml:space="preserve">Part Paid</t>
  </si>
  <si>
    <t xml:space="preserve">In Progress</t>
  </si>
  <si>
    <t xml:space="preserve">14ct</t>
  </si>
  <si>
    <t xml:space="preserve">Reporting Date (today)</t>
  </si>
  <si>
    <t xml:space="preserve">Office</t>
  </si>
  <si>
    <t xml:space="preserve">Credit Card</t>
  </si>
  <si>
    <t xml:space="preserve">VAT Exempt</t>
  </si>
  <si>
    <t xml:space="preserve">Deposit Only</t>
  </si>
  <si>
    <t xml:space="preserve">Photography</t>
  </si>
  <si>
    <t xml:space="preserve">Current Month Start</t>
  </si>
  <si>
    <t xml:space="preserve">Eternity Ring</t>
  </si>
  <si>
    <t xml:space="preserve">On Approval</t>
  </si>
  <si>
    <t xml:space="preserve">Personally Owned Stock</t>
  </si>
  <si>
    <t xml:space="preserve">Zero Rated</t>
  </si>
  <si>
    <t xml:space="preserve">Outstanding</t>
  </si>
  <si>
    <t xml:space="preserve">Repair</t>
  </si>
  <si>
    <t xml:space="preserve">Electrical</t>
  </si>
  <si>
    <t xml:space="preserve">On Hold</t>
  </si>
  <si>
    <t xml:space="preserve">Current Month End</t>
  </si>
  <si>
    <t xml:space="preserve">Signet Ring</t>
  </si>
  <si>
    <t xml:space="preserve">Finance</t>
  </si>
  <si>
    <t xml:space="preserve">Shop Fittings</t>
  </si>
  <si>
    <t xml:space="preserve">Consignment</t>
  </si>
  <si>
    <t xml:space="preserve">Deposit</t>
  </si>
  <si>
    <t xml:space="preserve">Manufacturer</t>
  </si>
  <si>
    <t xml:space="preserve">Business Cash</t>
  </si>
  <si>
    <t xml:space="preserve">Good</t>
  </si>
  <si>
    <t xml:space="preserve">Not Registered</t>
  </si>
  <si>
    <t xml:space="preserve">Refunded</t>
  </si>
  <si>
    <t xml:space="preserve">Valuation</t>
  </si>
  <si>
    <t xml:space="preserve">Plumbing</t>
  </si>
  <si>
    <t xml:space="preserve">Cancelled</t>
  </si>
  <si>
    <t xml:space="preserve">24ct</t>
  </si>
  <si>
    <t xml:space="preserve">Current Year Start</t>
  </si>
  <si>
    <t xml:space="preserve">Tennis Bracelet</t>
  </si>
  <si>
    <t xml:space="preserve">With Customer</t>
  </si>
  <si>
    <t xml:space="preserve">Split Payment</t>
  </si>
  <si>
    <t xml:space="preserve">Supplier Credit</t>
  </si>
  <si>
    <t xml:space="preserve">Fair</t>
  </si>
  <si>
    <t xml:space="preserve">Authentication</t>
  </si>
  <si>
    <t xml:space="preserve">Decorating</t>
  </si>
  <si>
    <t xml:space="preserve">925 Silver</t>
  </si>
  <si>
    <t xml:space="preserve">Current Year End</t>
  </si>
  <si>
    <t xml:space="preserve">Safe/Security</t>
  </si>
  <si>
    <t xml:space="preserve">Repairer</t>
  </si>
  <si>
    <t xml:space="preserve">For Repair</t>
  </si>
  <si>
    <t xml:space="preserve">Stock Transfer</t>
  </si>
  <si>
    <t xml:space="preserve">Flooring</t>
  </si>
  <si>
    <t xml:space="preserve">Week Start (Mon)</t>
  </si>
  <si>
    <t xml:space="preserve">CCTV</t>
  </si>
  <si>
    <t xml:space="preserve">Professional Fees</t>
  </si>
  <si>
    <t xml:space="preserve">Lighting</t>
  </si>
  <si>
    <t xml:space="preserve">999 Fine</t>
  </si>
  <si>
    <t xml:space="preserve">Base Currency</t>
  </si>
  <si>
    <t xml:space="preserve">GBP (£)</t>
  </si>
  <si>
    <t xml:space="preserve">Pendant Necklace</t>
  </si>
  <si>
    <t xml:space="preserve">Returned</t>
  </si>
  <si>
    <t xml:space="preserve">Return</t>
  </si>
  <si>
    <t xml:space="preserve">Security</t>
  </si>
  <si>
    <t xml:space="preserve">Stud Earrings</t>
  </si>
  <si>
    <t xml:space="preserve">Lost/Missing</t>
  </si>
  <si>
    <t xml:space="preserve">Electricity</t>
  </si>
  <si>
    <t xml:space="preserve">Equipment</t>
  </si>
  <si>
    <t xml:space="preserve">PARTNERSHIP OWNERSHIP % (informational)</t>
  </si>
  <si>
    <t xml:space="preserve">Drop Earrings</t>
  </si>
  <si>
    <t xml:space="preserve">Written Off</t>
  </si>
  <si>
    <t xml:space="preserve">Gas</t>
  </si>
  <si>
    <t xml:space="preserve">Reimbursement</t>
  </si>
  <si>
    <t xml:space="preserve">Water</t>
  </si>
  <si>
    <t xml:space="preserve">Withdrawal</t>
  </si>
  <si>
    <t xml:space="preserve">Internet</t>
  </si>
  <si>
    <t xml:space="preserve">Furniture</t>
  </si>
  <si>
    <t xml:space="preserve">Signage</t>
  </si>
  <si>
    <t xml:space="preserve">Total (must equal 100%)</t>
  </si>
  <si>
    <t xml:space="preserve">POS Equipment</t>
  </si>
  <si>
    <t xml:space="preserve">Employer Costs</t>
  </si>
  <si>
    <t xml:space="preserve">Computers</t>
  </si>
  <si>
    <t xml:space="preserve">Accounting</t>
  </si>
  <si>
    <t xml:space="preserve">Legal</t>
  </si>
  <si>
    <t xml:space="preserve">STOCK ID HELPER (next suggested numbers)</t>
  </si>
  <si>
    <t xml:space="preserve">Next Watch ID (WAT-)</t>
  </si>
  <si>
    <t xml:space="preserve">Website</t>
  </si>
  <si>
    <t xml:space="preserve">Next Jewellery ID (JWL-)</t>
  </si>
  <si>
    <t xml:space="preserve">Card Processing Fees</t>
  </si>
  <si>
    <t xml:space="preserve">Bank Fees</t>
  </si>
  <si>
    <t xml:space="preserve">CURRENCIES &amp; FX RATES → GBP</t>
  </si>
  <si>
    <t xml:space="preserve">Repairs</t>
  </si>
  <si>
    <t xml:space="preserve">Currency</t>
  </si>
  <si>
    <t xml:space="preserve">Rate to GBP (1 unit = £)</t>
  </si>
  <si>
    <t xml:space="preserve">Cleaning</t>
  </si>
  <si>
    <t xml:space="preserve">Packaging</t>
  </si>
  <si>
    <t xml:space="preserve">Delivery</t>
  </si>
  <si>
    <t xml:space="preserve">EUR</t>
  </si>
  <si>
    <t xml:space="preserve">Travel</t>
  </si>
  <si>
    <t xml:space="preserve">CHF</t>
  </si>
  <si>
    <t xml:space="preserve">HKD</t>
  </si>
  <si>
    <t xml:space="preserve">JPY</t>
  </si>
  <si>
    <t xml:space="preserve">Indicative rates — update as needed. Each stock row can override with the exact rate paid.</t>
  </si>
  <si>
    <t xml:space="preserve">AUDIT LOG</t>
  </si>
  <si>
    <t xml:space="preserve">Manual change log for important events: price reductions, write-offs, refunds, and changes to purchase costs. Excel cannot log automatically — record material changes here for accountability.</t>
  </si>
  <si>
    <t xml:space="preserve">User</t>
  </si>
  <si>
    <t xml:space="preserve">Action</t>
  </si>
  <si>
    <t xml:space="preserve">Stock ID / Transaction ID</t>
  </si>
  <si>
    <t xml:space="preserve">Field Changed</t>
  </si>
  <si>
    <t xml:space="preserve">Previous Value</t>
  </si>
  <si>
    <t xml:space="preserve">New Value</t>
  </si>
  <si>
    <t xml:space="preserve">Authorised By</t>
  </si>
  <si>
    <t xml:space="preserve">Price Reduction</t>
  </si>
  <si>
    <t xml:space="preserve">£10,800</t>
  </si>
  <si>
    <t xml:space="preserve">£10,500</t>
  </si>
  <si>
    <t xml:space="preserve">Negotiation with customer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</si>
</sst>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£#,##0;[RED]&quot;-£&quot;#,##0;\–"/>
    <numFmt numFmtId="167" formatCode="0.0%;[RED]\-0.0%;\–"/>
    <numFmt numFmtId="168" formatCode="dd/mm/yyyy"/>
    <numFmt numFmtId="169" formatCode="#,##0.00"/>
    <numFmt numFmtId="170" formatCode="0.0000"/>
    <numFmt numFmtId="171" formatCode="\£#,##0.00;[RED]&quot;-£&quot;#,##0.00;\–"/>
    <numFmt numFmtId="172" formatCode="hh:mm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B8962E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1F2A44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i val="true"/>
      <sz val="10"/>
      <color rgb="FF1A1A1A"/>
      <name val="Arial"/>
      <family val="0"/>
      <charset val="1"/>
    </font>
    <font>
      <i val="true"/>
      <sz val="10"/>
      <color rgb="FFB8962E"/>
      <name val="Arial"/>
      <family val="0"/>
      <charset val="1"/>
    </font>
    <font>
      <b val="true"/>
      <sz val="12"/>
      <color rgb="FFB8962E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B8962E"/>
      <name val="Arial"/>
      <family val="0"/>
      <charset val="1"/>
    </font>
    <font>
      <sz val="10"/>
      <color rgb="FF1F2A44"/>
      <name val="Arial"/>
      <family val="0"/>
      <charset val="1"/>
    </font>
    <font>
      <i val="true"/>
      <sz val="8"/>
      <color rgb="FF1A1A1A"/>
      <name val="Arial"/>
      <family val="0"/>
      <charset val="1"/>
    </font>
    <font>
      <b val="true"/>
      <sz val="11"/>
      <color rgb="FFB8962E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0"/>
      <color rgb="FFD6EAD6"/>
      <name val="Arial"/>
      <family val="0"/>
      <charset val="1"/>
    </font>
    <font>
      <i val="true"/>
      <sz val="8"/>
      <color rgb="FFB8962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2C3A5A"/>
      </patternFill>
    </fill>
    <fill>
      <patternFill patternType="solid">
        <fgColor rgb="FF2C3A5A"/>
        <bgColor rgb="FF1F2A44"/>
      </patternFill>
    </fill>
    <fill>
      <patternFill patternType="solid">
        <fgColor rgb="FFB8962E"/>
        <bgColor rgb="FFDC853E"/>
      </patternFill>
    </fill>
    <fill>
      <patternFill patternType="solid">
        <fgColor rgb="FFFFFFFF"/>
        <bgColor rgb="FFF9F9F9"/>
      </patternFill>
    </fill>
    <fill>
      <patternFill patternType="solid">
        <fgColor rgb="FFF1F2F4"/>
        <bgColor rgb="FFF9F9F9"/>
      </patternFill>
    </fill>
    <fill>
      <patternFill patternType="solid">
        <fgColor rgb="FFEFE6C7"/>
        <bgColor rgb="FFF3EBCF"/>
      </patternFill>
    </fill>
    <fill>
      <patternFill patternType="solid">
        <fgColor rgb="FFFBF9F3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b val="1"/>
        <color rgb="FFC0392B"/>
      </font>
      <fill>
        <patternFill>
          <bgColor rgb="FFF8D7DA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fgColor rgb="FFE2E4E7"/>
          <bgColor rgb="FF000000"/>
        </patternFill>
      </fill>
    </dxf>
    <dxf>
      <fill>
        <patternFill patternType="solid">
          <fgColor rgb="FFFBF9F3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F2F4"/>
          <bgColor rgb="FF000000"/>
        </patternFill>
      </fill>
    </dxf>
    <dxf>
      <fill>
        <patternFill patternType="solid">
          <fgColor rgb="FFF3EBCF"/>
          <bgColor rgb="FF000000"/>
        </patternFill>
      </fill>
    </dxf>
    <dxf>
      <fill>
        <patternFill>
          <bgColor rgb="FFE2E4E7"/>
        </patternFill>
      </fill>
    </dxf>
    <dxf>
      <fill>
        <patternFill>
          <bgColor rgb="FFD8E4F0"/>
        </patternFill>
      </fill>
    </dxf>
    <dxf>
      <fill>
        <patternFill>
          <bgColor rgb="FFFCECC9"/>
        </patternFill>
      </fill>
    </dxf>
    <dxf>
      <font>
        <b val="1"/>
      </font>
      <fill>
        <patternFill>
          <bgColor rgb="FFF3EBCF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ont>
        <b val="1"/>
      </font>
      <fill>
        <patternFill>
          <bgColor rgb="FFFCEC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FE6C7"/>
      <rgbColor rgb="FFFF00FF"/>
      <rgbColor rgb="FF00FFFF"/>
      <rgbColor rgb="FF800000"/>
      <rgbColor rgb="FF008000"/>
      <rgbColor rgb="FF000080"/>
      <rgbColor rgb="FFB8962E"/>
      <rgbColor rgb="FF800080"/>
      <rgbColor rgb="FF4F81BD"/>
      <rgbColor rgb="FFB8CD97"/>
      <rgbColor rgb="FF878787"/>
      <rgbColor rgb="FF93A9CE"/>
      <rgbColor rgb="FFAB4744"/>
      <rgbColor rgb="FFFBF9F3"/>
      <rgbColor rgb="FFD8E4F0"/>
      <rgbColor rgb="FF660066"/>
      <rgbColor rgb="FFDC853E"/>
      <rgbColor rgb="FF4672A8"/>
      <rgbColor rgb="FFD8D8D8"/>
      <rgbColor rgb="FF000080"/>
      <rgbColor rgb="FFFF00FF"/>
      <rgbColor rgb="FFF3EBCF"/>
      <rgbColor rgb="FF00FFFF"/>
      <rgbColor rgb="FF800080"/>
      <rgbColor rgb="FF800000"/>
      <rgbColor rgb="FF008080"/>
      <rgbColor rgb="FF0000FF"/>
      <rgbColor rgb="FF00CCFF"/>
      <rgbColor rgb="FFF1F2F4"/>
      <rgbColor rgb="FFD6EAD6"/>
      <rgbColor rgb="FFFCECC9"/>
      <rgbColor rgb="FFD9D9D9"/>
      <rgbColor rgb="FFD09493"/>
      <rgbColor rgb="FFE2E4E7"/>
      <rgbColor rgb="FFF8D7DA"/>
      <rgbColor rgb="FF4A7EBB"/>
      <rgbColor rgb="FF33CCCC"/>
      <rgbColor rgb="FF8AA64F"/>
      <rgbColor rgb="FFF9F9F9"/>
      <rgbColor rgb="FFFF9900"/>
      <rgbColor rgb="FFFF6600"/>
      <rgbColor rgb="FF725990"/>
      <rgbColor rgb="FFA99BBD"/>
      <rgbColor rgb="FF1F4E79"/>
      <rgbColor rgb="FF4299B0"/>
      <rgbColor rgb="FF003300"/>
      <rgbColor rgb="FF1A1A1A"/>
      <rgbColor rgb="FFC0392B"/>
      <rgbColor rgb="FFC0504D"/>
      <rgbColor rgb="FF2C3A5A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DASHBOARD!C20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DASHBOARD!$B$21:$B$32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DASHBOARD!$C$21:$C$32</c:f>
              <c:numCache>
                <c:formatCode>\£#,##0;[RED]"-£"#,##0;\–</c:formatCode>
                <c:ptCount val="12"/>
                <c:pt idx="0">
                  <c:v>0</c:v>
                </c:pt>
                <c:pt idx="1">
                  <c:v>10200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007126"/>
        <c:axId val="66077225"/>
      </c:lineChart>
      <c:catAx>
        <c:axId val="940071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77225"/>
        <c:crosses val="autoZero"/>
        <c:auto val="1"/>
        <c:lblAlgn val="ctr"/>
        <c:lblOffset val="100"/>
        <c:noMultiLvlLbl val="0"/>
      </c:catAx>
      <c:valAx>
        <c:axId val="66077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;[RED]&quot;-£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071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Gross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DASHBOARD!D20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DASHBOARD!$B$21:$B$32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DASHBOARD!$D$21:$D$32</c:f>
              <c:numCache>
                <c:formatCode>\£#,##0;[RED]"-£"#,##0;\–</c:formatCode>
                <c:ptCount val="12"/>
                <c:pt idx="0">
                  <c:v>0</c:v>
                </c:pt>
                <c:pt idx="1">
                  <c:v>2100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8433186"/>
        <c:axId val="72883844"/>
      </c:barChart>
      <c:catAx>
        <c:axId val="384331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83844"/>
        <c:crosses val="autoZero"/>
        <c:auto val="1"/>
        <c:lblAlgn val="ctr"/>
        <c:lblOffset val="100"/>
        <c:noMultiLvlLbl val="0"/>
      </c:catAx>
      <c:valAx>
        <c:axId val="728838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;[RED]&quot;-£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331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DASHBOARD!G20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a99bb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DASHBOARD!$F$21:$F$30</c:f>
              <c:strCache>
                <c:ptCount val="10"/>
                <c:pt idx="0">
                  <c:v>Watch</c:v>
                </c:pt>
                <c:pt idx="1">
                  <c:v>Ring</c:v>
                </c:pt>
                <c:pt idx="2">
                  <c:v>Bracelet</c:v>
                </c:pt>
                <c:pt idx="3">
                  <c:v>Necklace</c:v>
                </c:pt>
                <c:pt idx="4">
                  <c:v>Pendant</c:v>
                </c:pt>
                <c:pt idx="5">
                  <c:v>Earrings</c:v>
                </c:pt>
                <c:pt idx="6">
                  <c:v>Chain</c:v>
                </c:pt>
                <c:pt idx="7">
                  <c:v>Gold</c:v>
                </c:pt>
                <c:pt idx="8">
                  <c:v>Diamond Jewellery</c:v>
                </c:pt>
                <c:pt idx="9">
                  <c:v>Other</c:v>
                </c:pt>
              </c:strCache>
            </c:strRef>
          </c:cat>
          <c:val>
            <c:numRef>
              <c:f>DASHBOARD!$G$21:$G$30</c:f>
              <c:numCache>
                <c:formatCode>\£#,##0;[RED]"-£"#,##0;\–</c:formatCode>
                <c:ptCount val="10"/>
                <c:pt idx="0">
                  <c:v>10200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Employee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DASHBOARD!K20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DASHBOARD!$J$21:$J$24</c:f>
              <c:strCache>
                <c:ptCount val="4"/>
                <c:pt idx="0">
                  <c:v>Sarah Hughes</c:v>
                </c:pt>
                <c:pt idx="1">
                  <c:v>James Patel</c:v>
                </c:pt>
                <c:pt idx="2">
                  <c:v>Olivia Brown</c:v>
                </c:pt>
                <c:pt idx="3">
                  <c:v>David Khan</c:v>
                </c:pt>
              </c:strCache>
            </c:strRef>
          </c:cat>
          <c:val>
            <c:numRef>
              <c:f>DASHBOARD!$K$21:$K$24</c:f>
              <c:numCache>
                <c:formatCode>\£#,##0;[RED]"-£"#,##0;\–</c:formatCode>
                <c:ptCount val="4"/>
                <c:pt idx="0">
                  <c:v>10200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18735374"/>
        <c:axId val="16677450"/>
      </c:barChart>
      <c:catAx>
        <c:axId val="187353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77450"/>
        <c:crosses val="autoZero"/>
        <c:auto val="1"/>
        <c:lblAlgn val="ctr"/>
        <c:lblOffset val="100"/>
        <c:noMultiLvlLbl val="0"/>
      </c:catAx>
      <c:valAx>
        <c:axId val="16677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;[RED]&quot;-£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353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Value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DASHBOARD!H20</c:f>
              <c:strCache>
                <c:ptCount val="1"/>
                <c:pt idx="0">
                  <c:v>Stock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DASHBOARD!$F$21:$F$30</c:f>
              <c:strCache>
                <c:ptCount val="10"/>
                <c:pt idx="0">
                  <c:v>Watch</c:v>
                </c:pt>
                <c:pt idx="1">
                  <c:v>Ring</c:v>
                </c:pt>
                <c:pt idx="2">
                  <c:v>Bracelet</c:v>
                </c:pt>
                <c:pt idx="3">
                  <c:v>Necklace</c:v>
                </c:pt>
                <c:pt idx="4">
                  <c:v>Pendant</c:v>
                </c:pt>
                <c:pt idx="5">
                  <c:v>Earrings</c:v>
                </c:pt>
                <c:pt idx="6">
                  <c:v>Chain</c:v>
                </c:pt>
                <c:pt idx="7">
                  <c:v>Gold</c:v>
                </c:pt>
                <c:pt idx="8">
                  <c:v>Diamond Jewellery</c:v>
                </c:pt>
                <c:pt idx="9">
                  <c:v>Other</c:v>
                </c:pt>
              </c:strCache>
            </c:strRef>
          </c:cat>
          <c:val>
            <c:numRef>
              <c:f>DASHBOARD!$H$21:$H$30</c:f>
              <c:numCache>
                <c:formatCode>\£#,##0;[RED]"-£"#,##0;\–</c:formatCode>
                <c:ptCount val="10"/>
                <c:pt idx="0">
                  <c:v>7990</c:v>
                </c:pt>
                <c:pt idx="1">
                  <c:v>0</c:v>
                </c:pt>
                <c:pt idx="2">
                  <c:v>1650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1500</c:v>
                </c:pt>
                <c:pt idx="8">
                  <c:v>3550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5825571"/>
        <c:axId val="12252969"/>
      </c:barChart>
      <c:catAx>
        <c:axId val="5825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52969"/>
        <c:crosses val="autoZero"/>
        <c:auto val="1"/>
        <c:lblAlgn val="ctr"/>
        <c:lblOffset val="100"/>
        <c:noMultiLvlLbl val="0"/>
      </c:catAx>
      <c:valAx>
        <c:axId val="12252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;[RED]&quot;-£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55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DASHBOARD!N20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DASHBOARD!$M$21:$M$29</c:f>
              <c:strCache>
                <c:ptCount val="9"/>
                <c:pt idx="0">
                  <c:v>Rent</c:v>
                </c:pt>
                <c:pt idx="1">
                  <c:v>Refurbishment</c:v>
                </c:pt>
                <c:pt idx="2">
                  <c:v>Insurance</c:v>
                </c:pt>
                <c:pt idx="3">
                  <c:v>Staff Wages</c:v>
                </c:pt>
                <c:pt idx="4">
                  <c:v>Marketing</c:v>
                </c:pt>
                <c:pt idx="5">
                  <c:v>Stock Insurance</c:v>
                </c:pt>
                <c:pt idx="6">
                  <c:v>Business Rates</c:v>
                </c:pt>
                <c:pt idx="7">
                  <c:v>Software</c:v>
                </c:pt>
                <c:pt idx="8">
                  <c:v>Miscellaneous</c:v>
                </c:pt>
              </c:strCache>
            </c:strRef>
          </c:cat>
          <c:val>
            <c:numRef>
              <c:f>DASHBOARD!$N$21:$N$29</c:f>
              <c:numCache>
                <c:formatCode>\£#,##0;[RED]"-£"#,##0;\–</c:formatCode>
                <c:ptCount val="9"/>
                <c:pt idx="0">
                  <c:v>3000</c:v>
                </c:pt>
                <c:pt idx="1">
                  <c:v>5000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Partner Contributions vs Reimbursements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DASHBOARD!C35</c:f>
              <c:strCache>
                <c:ptCount val="1"/>
                <c:pt idx="0">
                  <c:v>Introduced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DASHBOARD!$B$36:$B$38</c:f>
              <c:strCache>
                <c:ptCount val="3"/>
                <c:pt idx="0">
                  <c:v>Partner 1</c:v>
                </c:pt>
                <c:pt idx="1">
                  <c:v>Partner 2</c:v>
                </c:pt>
                <c:pt idx="2">
                  <c:v>Partner 3</c:v>
                </c:pt>
              </c:strCache>
            </c:strRef>
          </c:cat>
          <c:val>
            <c:numRef>
              <c:f>DASHBOARD!$C$36:$C$38</c:f>
              <c:numCache>
                <c:formatCode>\£#,##0;[RED]"-£"#,##0;\–</c:formatCode>
                <c:ptCount val="3"/>
                <c:pt idx="0">
                  <c:v>18100</c:v>
                </c:pt>
                <c:pt idx="1">
                  <c:v>3550</c:v>
                </c:pt>
                <c:pt idx="2">
                  <c:v>9790</c:v>
                </c:pt>
              </c:numCache>
            </c:numRef>
          </c:val>
        </c:ser>
        <c:ser>
          <c:idx val="1"/>
          <c:order val="1"/>
          <c:tx>
            <c:strRef>
              <c:f>DASHBOARD!D35</c:f>
              <c:strCache>
                <c:ptCount val="1"/>
                <c:pt idx="0">
                  <c:v>Reimbursed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DASHBOARD!$B$36:$B$38</c:f>
              <c:strCache>
                <c:ptCount val="3"/>
                <c:pt idx="0">
                  <c:v>Partner 1</c:v>
                </c:pt>
                <c:pt idx="1">
                  <c:v>Partner 2</c:v>
                </c:pt>
                <c:pt idx="2">
                  <c:v>Partner 3</c:v>
                </c:pt>
              </c:strCache>
            </c:strRef>
          </c:cat>
          <c:val>
            <c:numRef>
              <c:f>DASHBOARD!$D$36:$D$38</c:f>
              <c:numCache>
                <c:formatCode>\£#,##0;[RED]"-£"#,##0;\–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2000</c:v>
                </c:pt>
              </c:numCache>
            </c:numRef>
          </c:val>
        </c:ser>
        <c:gapWidth val="150"/>
        <c:overlap val="0"/>
        <c:axId val="41501008"/>
        <c:axId val="28459317"/>
      </c:barChart>
      <c:catAx>
        <c:axId val="4150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59317"/>
        <c:crosses val="autoZero"/>
        <c:auto val="1"/>
        <c:lblAlgn val="ctr"/>
        <c:lblOffset val="100"/>
        <c:noMultiLvlLbl val="0"/>
      </c:catAx>
      <c:valAx>
        <c:axId val="28459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;[RED]&quot;-£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010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0</xdr:rowOff>
    </xdr:from>
    <xdr:to>
      <xdr:col>3</xdr:col>
      <xdr:colOff>314640</xdr:colOff>
      <xdr:row>53</xdr:row>
      <xdr:rowOff>43200</xdr:rowOff>
    </xdr:to>
    <xdr:graphicFrame>
      <xdr:nvGraphicFramePr>
        <xdr:cNvPr id="0" name="Chart 1"/>
        <xdr:cNvGraphicFramePr/>
      </xdr:nvGraphicFramePr>
      <xdr:xfrm>
        <a:off x="266760" y="793440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9</xdr:col>
      <xdr:colOff>315000</xdr:colOff>
      <xdr:row>53</xdr:row>
      <xdr:rowOff>43200</xdr:rowOff>
    </xdr:to>
    <xdr:graphicFrame>
      <xdr:nvGraphicFramePr>
        <xdr:cNvPr id="1" name="Chart 2"/>
        <xdr:cNvGraphicFramePr/>
      </xdr:nvGraphicFramePr>
      <xdr:xfrm>
        <a:off x="10223640" y="793440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3</xdr:col>
      <xdr:colOff>314640</xdr:colOff>
      <xdr:row>68</xdr:row>
      <xdr:rowOff>43200</xdr:rowOff>
    </xdr:to>
    <xdr:graphicFrame>
      <xdr:nvGraphicFramePr>
        <xdr:cNvPr id="2" name="Chart 3"/>
        <xdr:cNvGraphicFramePr/>
      </xdr:nvGraphicFramePr>
      <xdr:xfrm>
        <a:off x="266760" y="1079172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55</xdr:row>
      <xdr:rowOff>0</xdr:rowOff>
    </xdr:from>
    <xdr:to>
      <xdr:col>9</xdr:col>
      <xdr:colOff>315000</xdr:colOff>
      <xdr:row>68</xdr:row>
      <xdr:rowOff>43200</xdr:rowOff>
    </xdr:to>
    <xdr:graphicFrame>
      <xdr:nvGraphicFramePr>
        <xdr:cNvPr id="3" name="Chart 4"/>
        <xdr:cNvGraphicFramePr/>
      </xdr:nvGraphicFramePr>
      <xdr:xfrm>
        <a:off x="10223640" y="1079172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70</xdr:row>
      <xdr:rowOff>0</xdr:rowOff>
    </xdr:from>
    <xdr:to>
      <xdr:col>3</xdr:col>
      <xdr:colOff>314640</xdr:colOff>
      <xdr:row>83</xdr:row>
      <xdr:rowOff>43200</xdr:rowOff>
    </xdr:to>
    <xdr:graphicFrame>
      <xdr:nvGraphicFramePr>
        <xdr:cNvPr id="4" name="Chart 5"/>
        <xdr:cNvGraphicFramePr/>
      </xdr:nvGraphicFramePr>
      <xdr:xfrm>
        <a:off x="266760" y="1364940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70</xdr:row>
      <xdr:rowOff>0</xdr:rowOff>
    </xdr:from>
    <xdr:to>
      <xdr:col>9</xdr:col>
      <xdr:colOff>315000</xdr:colOff>
      <xdr:row>83</xdr:row>
      <xdr:rowOff>43200</xdr:rowOff>
    </xdr:to>
    <xdr:graphicFrame>
      <xdr:nvGraphicFramePr>
        <xdr:cNvPr id="5" name="Chart 6"/>
        <xdr:cNvGraphicFramePr/>
      </xdr:nvGraphicFramePr>
      <xdr:xfrm>
        <a:off x="10223640" y="1364940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85</xdr:row>
      <xdr:rowOff>0</xdr:rowOff>
    </xdr:from>
    <xdr:to>
      <xdr:col>4</xdr:col>
      <xdr:colOff>781200</xdr:colOff>
      <xdr:row>98</xdr:row>
      <xdr:rowOff>43200</xdr:rowOff>
    </xdr:to>
    <xdr:graphicFrame>
      <xdr:nvGraphicFramePr>
        <xdr:cNvPr id="6" name="Chart 7"/>
        <xdr:cNvGraphicFramePr/>
      </xdr:nvGraphicFramePr>
      <xdr:xfrm>
        <a:off x="266760" y="165067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1</xdr:col>
      <xdr:colOff>914040</xdr:colOff>
      <xdr:row>3</xdr:row>
      <xdr:rowOff>628200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066680" y="961920"/>
          <a:ext cx="91404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914040</xdr:colOff>
      <xdr:row>4</xdr:row>
      <xdr:rowOff>628200</xdr:rowOff>
    </xdr:to>
    <xdr:pic>
      <xdr:nvPicPr>
        <xdr:cNvPr id="8" name="Image 2" descr="Picture"/>
        <xdr:cNvPicPr/>
      </xdr:nvPicPr>
      <xdr:blipFill>
        <a:blip r:embed="rId2"/>
        <a:stretch/>
      </xdr:blipFill>
      <xdr:spPr>
        <a:xfrm>
          <a:off x="1066680" y="1647720"/>
          <a:ext cx="91404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914040</xdr:colOff>
      <xdr:row>5</xdr:row>
      <xdr:rowOff>628200</xdr:rowOff>
    </xdr:to>
    <xdr:pic>
      <xdr:nvPicPr>
        <xdr:cNvPr id="9" name="Image 3" descr="Picture"/>
        <xdr:cNvPicPr/>
      </xdr:nvPicPr>
      <xdr:blipFill>
        <a:blip r:embed="rId3"/>
        <a:stretch/>
      </xdr:blipFill>
      <xdr:spPr>
        <a:xfrm>
          <a:off x="1066680" y="2333520"/>
          <a:ext cx="91404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914040</xdr:colOff>
      <xdr:row>6</xdr:row>
      <xdr:rowOff>628200</xdr:rowOff>
    </xdr:to>
    <xdr:pic>
      <xdr:nvPicPr>
        <xdr:cNvPr id="10" name="Image 4" descr="Picture"/>
        <xdr:cNvPicPr/>
      </xdr:nvPicPr>
      <xdr:blipFill>
        <a:blip r:embed="rId4"/>
        <a:stretch/>
      </xdr:blipFill>
      <xdr:spPr>
        <a:xfrm>
          <a:off x="1066680" y="3019320"/>
          <a:ext cx="91404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914040</xdr:colOff>
      <xdr:row>7</xdr:row>
      <xdr:rowOff>628200</xdr:rowOff>
    </xdr:to>
    <xdr:pic>
      <xdr:nvPicPr>
        <xdr:cNvPr id="11" name="Image 5" descr="Picture"/>
        <xdr:cNvPicPr/>
      </xdr:nvPicPr>
      <xdr:blipFill>
        <a:blip r:embed="rId5"/>
        <a:stretch/>
      </xdr:blipFill>
      <xdr:spPr>
        <a:xfrm>
          <a:off x="1066680" y="3705120"/>
          <a:ext cx="91404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914040</xdr:colOff>
      <xdr:row>8</xdr:row>
      <xdr:rowOff>628200</xdr:rowOff>
    </xdr:to>
    <xdr:pic>
      <xdr:nvPicPr>
        <xdr:cNvPr id="12" name="Image 6" descr="Picture"/>
        <xdr:cNvPicPr/>
      </xdr:nvPicPr>
      <xdr:blipFill>
        <a:blip r:embed="rId6"/>
        <a:stretch/>
      </xdr:blipFill>
      <xdr:spPr>
        <a:xfrm>
          <a:off x="1066680" y="4390920"/>
          <a:ext cx="914040" cy="6282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AuditTbl" displayName="AuditTbl" ref="A3:J83" headerRowCount="1" totalsRowCount="0" totalsRowShown="0">
  <autoFilter ref="A3:J83"/>
  <tableColumns count="10">
    <tableColumn id="1" name="Date"/>
    <tableColumn id="2" name="Time"/>
    <tableColumn id="3" name="User"/>
    <tableColumn id="4" name="Action"/>
    <tableColumn id="5" name="Stock ID / Transaction ID"/>
    <tableColumn id="6" name="Field Changed"/>
    <tableColumn id="7" name="Previous Value"/>
    <tableColumn id="8" name="New Value"/>
    <tableColumn id="9" name="Reason"/>
    <tableColumn id="10" name="Authorised By"/>
  </tableColumns>
</table>
</file>

<file path=xl/tables/table2.xml><?xml version="1.0" encoding="utf-8"?>
<table xmlns="http://schemas.openxmlformats.org/spreadsheetml/2006/main" id="2" name="BuildingTbl" displayName="BuildingTbl" ref="A3:O63" headerRowCount="1" totalsRowCount="0" totalsRowShown="0">
  <autoFilter ref="A3:O63"/>
  <tableColumns count="15">
    <tableColumn id="1" name="Project Cost ID"/>
    <tableColumn id="2" name="Date"/>
    <tableColumn id="3" name="Category"/>
    <tableColumn id="4" name="Contractor/Supplier"/>
    <tableColumn id="5" name="Description"/>
    <tableColumn id="6" name="Original Budget"/>
    <tableColumn id="7" name="Actual Cost"/>
    <tableColumn id="8" name="Variance"/>
    <tableColumn id="9" name="VAT"/>
    <tableColumn id="10" name="Paid By"/>
    <tableColumn id="11" name="Amount Reimbursed"/>
    <tableColumn id="12" name="Amount Outstanding"/>
    <tableColumn id="13" name="Invoice Number"/>
    <tableColumn id="14" name="Completion Status"/>
    <tableColumn id="15" name="Notes"/>
  </tableColumns>
</table>
</file>

<file path=xl/tables/table3.xml><?xml version="1.0" encoding="utf-8"?>
<table xmlns="http://schemas.openxmlformats.org/spreadsheetml/2006/main" id="3" name="CustomersTbl" displayName="CustomersTbl" ref="A3:I53" headerRowCount="1" totalsRowCount="0" totalsRowShown="0">
  <autoFilter ref="A3:I53"/>
  <tableColumns count="9">
    <tableColumn id="1" name="Customer ID"/>
    <tableColumn id="2" name="Name"/>
    <tableColumn id="3" name="Telephone"/>
    <tableColumn id="4" name="Email"/>
    <tableColumn id="5" name="Date First Purchased"/>
    <tableColumn id="6" name="Number of Purchases"/>
    <tableColumn id="7" name="Total Spend"/>
    <tableColumn id="8" name="Last Purchase"/>
    <tableColumn id="9" name="Notes"/>
  </tableColumns>
</table>
</file>

<file path=xl/tables/table4.xml><?xml version="1.0" encoding="utf-8"?>
<table xmlns="http://schemas.openxmlformats.org/spreadsheetml/2006/main" id="4" name="ExpensesTbl" displayName="ExpensesTbl" ref="A3:R83" headerRowCount="1" totalsRowCount="0" totalsRowShown="0">
  <autoFilter ref="A3:R83"/>
  <tableColumns count="18">
    <tableColumn id="1" name="Expense ID"/>
    <tableColumn id="2" name="Date"/>
    <tableColumn id="3" name="Supplier"/>
    <tableColumn id="4" name="Expense Category"/>
    <tableColumn id="5" name="Description"/>
    <tableColumn id="6" name="Invoice/Receipt No"/>
    <tableColumn id="7" name="Net Amount"/>
    <tableColumn id="8" name="VAT"/>
    <tableColumn id="9" name="Gross Amount"/>
    <tableColumn id="10" name="Paid By"/>
    <tableColumn id="11" name="Payment Method"/>
    <tableColumn id="12" name="Recurring?"/>
    <tableColumn id="13" name="Related Partner Contribution?"/>
    <tableColumn id="14" name="Partner"/>
    <tableColumn id="15" name="Reimbursed?"/>
    <tableColumn id="16" name="Reimbursement Date"/>
    <tableColumn id="17" name="Notes"/>
    <tableColumn id="18" name="Receipt Link"/>
  </tableColumns>
</table>
</file>

<file path=xl/tables/table5.xml><?xml version="1.0" encoding="utf-8"?>
<table xmlns="http://schemas.openxmlformats.org/spreadsheetml/2006/main" id="5" name="InventoryTbl" displayName="InventoryTbl" ref="A3:BB63" headerRowCount="1" totalsRowCount="0" totalsRowShown="0">
  <autoFilter ref="A3:BB63"/>
  <tableColumns count="54">
    <tableColumn id="1" name="Stock ID"/>
    <tableColumn id="2" name="Photo"/>
    <tableColumn id="3" name="Barcode/QR Ref"/>
    <tableColumn id="4" name="Date Purchased"/>
    <tableColumn id="5" name="Category"/>
    <tableColumn id="6" name="Subcategory"/>
    <tableColumn id="7" name="Brand"/>
    <tableColumn id="8" name="Model"/>
    <tableColumn id="9" name="Model/Ref Number"/>
    <tableColumn id="10" name="Serial Number"/>
    <tableColumn id="11" name="Description"/>
    <tableColumn id="12" name="Metal"/>
    <tableColumn id="13" name="Metal Purity"/>
    <tableColumn id="14" name="Weight (g)"/>
    <tableColumn id="15" name="Stone Type"/>
    <tableColumn id="16" name="Stone Carat"/>
    <tableColumn id="17" name="Diamond Colour"/>
    <tableColumn id="18" name="Diamond Clarity"/>
    <tableColumn id="19" name="Ring Size"/>
    <tableColumn id="20" name="Watch Case Size"/>
    <tableColumn id="21" name="Watch Movement"/>
    <tableColumn id="22" name="Watch Year"/>
    <tableColumn id="23" name="Box Included"/>
    <tableColumn id="24" name="Papers Included"/>
    <tableColumn id="25" name="Warranty Included"/>
    <tableColumn id="26" name="Condition"/>
    <tableColumn id="27" name="Supplier Name"/>
    <tableColumn id="28" name="Supplier Type"/>
    <tableColumn id="29" name="Supplier Invoice Ref"/>
    <tableColumn id="30" name="Purchase Currency"/>
    <tableColumn id="31" name="Original Purchase Price"/>
    <tableColumn id="32" name="FX Rate to GBP"/>
    <tableColumn id="33" name="Purchase Price (GBP)"/>
    <tableColumn id="34" name="Additional Costs"/>
    <tableColumn id="35" name="Total Landed Cost"/>
    <tableColumn id="36" name="Paid By"/>
    <tableColumn id="37" name="Funding Type"/>
    <tableColumn id="38" name="Ownership/Funding Notes"/>
    <tableColumn id="39" name="Target Selling Price"/>
    <tableColumn id="40" name="Minimum Selling Price"/>
    <tableColumn id="41" name="Current Advertised Price"/>
    <tableColumn id="42" name="Expected Gross Profit"/>
    <tableColumn id="43" name="Expected Margin %"/>
    <tableColumn id="44" name="Current Location"/>
    <tableColumn id="45" name="Stock Status"/>
    <tableColumn id="46" name="Date Sold"/>
    <tableColumn id="47" name="Actual Selling Price"/>
    <tableColumn id="48" name="Actual Gross Profit"/>
    <tableColumn id="49" name="Actual Margin %"/>
    <tableColumn id="50" name="Salesperson"/>
    <tableColumn id="51" name="Customer/Invoice Ref"/>
    <tableColumn id="52" name="Payment Method"/>
    <tableColumn id="53" name="Photo/Document Link"/>
    <tableColumn id="54" name="Notes"/>
  </tableColumns>
</table>
</file>

<file path=xl/tables/table6.xml><?xml version="1.0" encoding="utf-8"?>
<table xmlns="http://schemas.openxmlformats.org/spreadsheetml/2006/main" id="6" name="JewelleryTbl" displayName="JewelleryTbl" ref="A3:AA43" headerRowCount="1" totalsRowCount="0" totalsRowShown="0">
  <autoFilter ref="A3:AA43"/>
  <tableColumns count="27">
    <tableColumn id="1" name="Stock ID"/>
    <tableColumn id="2" name="Jewellery Type"/>
    <tableColumn id="3" name="Metal"/>
    <tableColumn id="4" name="Purity"/>
    <tableColumn id="5" name="Weight (g)"/>
    <tableColumn id="6" name="Gold Rate (£/g)"/>
    <tableColumn id="7" name="Metal Value (£)"/>
    <tableColumn id="8" name="Stone"/>
    <tableColumn id="9" name="Stone Carat"/>
    <tableColumn id="10" name="Stone Cost (£)"/>
    <tableColumn id="11" name="Buy Premium %"/>
    <tableColumn id="12" name="Implied Buy Cost (£)"/>
    <tableColumn id="13" name="Sell Premium %"/>
    <tableColumn id="14" name="Suggested Sell (£)"/>
    <tableColumn id="15" name="Diamond Colour"/>
    <tableColumn id="16" name="Diamond Clarity"/>
    <tableColumn id="17" name="Cut"/>
    <tableColumn id="18" name="Certificate Number"/>
    <tableColumn id="19" name="Laboratory"/>
    <tableColumn id="20" name="Ring Size"/>
    <tableColumn id="21" name="Purchase Price"/>
    <tableColumn id="22" name="Cost Per Gram"/>
    <tableColumn id="23" name="Target Selling Price"/>
    <tableColumn id="24" name="Current Selling Price"/>
    <tableColumn id="25" name="Status"/>
    <tableColumn id="26" name="Location"/>
    <tableColumn id="27" name="Notes"/>
  </tableColumns>
</table>
</file>

<file path=xl/tables/table7.xml><?xml version="1.0" encoding="utf-8"?>
<table xmlns="http://schemas.openxmlformats.org/spreadsheetml/2006/main" id="7" name="MovementTbl" displayName="MovementTbl" ref="A3:N63" headerRowCount="1" totalsRowCount="0" totalsRowShown="0">
  <autoFilter ref="A3:N63"/>
  <tableColumns count="14">
    <tableColumn id="1" name="Movement ID"/>
    <tableColumn id="2" name="Date"/>
    <tableColumn id="3" name="Time"/>
    <tableColumn id="4" name="Stock ID"/>
    <tableColumn id="5" name="Item"/>
    <tableColumn id="6" name="Previous Location"/>
    <tableColumn id="7" name="New Location"/>
    <tableColumn id="8" name="Person Taking Item"/>
    <tableColumn id="9" name="Staff Authorising"/>
    <tableColumn id="10" name="Reason"/>
    <tableColumn id="11" name="Expected Return Date"/>
    <tableColumn id="12" name="Actual Return Date"/>
    <tableColumn id="13" name="Returned?"/>
    <tableColumn id="14" name="Notes"/>
  </tableColumns>
</table>
</file>

<file path=xl/tables/table8.xml><?xml version="1.0" encoding="utf-8"?>
<table xmlns="http://schemas.openxmlformats.org/spreadsheetml/2006/main" id="8" name="PartnerContribTbl" displayName="PartnerContribTbl" ref="A3:N63" headerRowCount="1" totalsRowCount="0" totalsRowShown="0">
  <autoFilter ref="A3:N63"/>
  <tableColumns count="14">
    <tableColumn id="1" name="Transaction ID"/>
    <tableColumn id="2" name="Date"/>
    <tableColumn id="3" name="Partner"/>
    <tableColumn id="4" name="Transaction Type"/>
    <tableColumn id="5" name="Description"/>
    <tableColumn id="6" name="Related Stock ID"/>
    <tableColumn id="7" name="Related Expense ID"/>
    <tableColumn id="8" name="Amount"/>
    <tableColumn id="9" name="Payment Method"/>
    <tableColumn id="10" name="Business Purpose"/>
    <tableColumn id="11" name="Reimbursed Amount"/>
    <tableColumn id="12" name="Reimbursement Date"/>
    <tableColumn id="13" name="Amount Outstanding"/>
    <tableColumn id="14" name="Notes"/>
  </tableColumns>
</table>
</file>

<file path=xl/tables/table9.xml><?xml version="1.0" encoding="utf-8"?>
<table xmlns="http://schemas.openxmlformats.org/spreadsheetml/2006/main" id="9" name="ReturnsTbl" displayName="ReturnsTbl" ref="A3:M63" headerRowCount="1" totalsRowCount="0" totalsRowShown="0">
  <autoFilter ref="A3:M63"/>
  <tableColumns count="13">
    <tableColumn id="1" name="Return ID"/>
    <tableColumn id="2" name="Date"/>
    <tableColumn id="3" name="Original Sale ID"/>
    <tableColumn id="4" name="Stock ID"/>
    <tableColumn id="5" name="Customer Reference"/>
    <tableColumn id="6" name="Original Selling Price"/>
    <tableColumn id="7" name="Refund Amount"/>
    <tableColumn id="8" name="Reason"/>
    <tableColumn id="9" name="Item Condition on Return"/>
    <tableColumn id="10" name="Returned to Stock?"/>
    <tableColumn id="11" name="New Stock Status"/>
    <tableColumn id="12" name="Approved By"/>
    <tableColumn id="13" name="Notes"/>
  </tableColumns>
</table>
</file>

<file path=xl/tables/table10.xml><?xml version="1.0" encoding="utf-8"?>
<table xmlns="http://schemas.openxmlformats.org/spreadsheetml/2006/main" id="10" name="SalesTbl" displayName="SalesTbl" ref="A3:Y63" headerRowCount="1" totalsRowCount="0" totalsRowShown="0">
  <autoFilter ref="A3:Y63"/>
  <tableColumns count="25">
    <tableColumn id="1" name="Sale ID"/>
    <tableColumn id="2" name="Sale Date"/>
    <tableColumn id="3" name="Stock ID"/>
    <tableColumn id="4" name="Item Description"/>
    <tableColumn id="5" name="Category"/>
    <tableColumn id="6" name="Salesperson"/>
    <tableColumn id="7" name="Customer Name/Ref"/>
    <tableColumn id="8" name="Invoice Number"/>
    <tableColumn id="9" name="Cost Price"/>
    <tableColumn id="10" name="Advertised Price"/>
    <tableColumn id="11" name="Selling Price"/>
    <tableColumn id="12" name="Discount Amount"/>
    <tableColumn id="13" name="Discount %"/>
    <tableColumn id="14" name="Gross Profit"/>
    <tableColumn id="15" name="Gross Margin %"/>
    <tableColumn id="16" name="VAT Treatment"/>
    <tableColumn id="17" name="Payment Method"/>
    <tableColumn id="18" name="Deposit Received"/>
    <tableColumn id="19" name="Balance Received"/>
    <tableColumn id="20" name="Amount Outstanding"/>
    <tableColumn id="21" name="Payment Status"/>
    <tableColumn id="22" name="Trade-In"/>
    <tableColumn id="23" name="Trade-In Value"/>
    <tableColumn id="24" name="Refund/Return"/>
    <tableColumn id="25" name="Notes"/>
  </tableColumns>
</table>
</file>

<file path=xl/tables/table11.xml><?xml version="1.0" encoding="utf-8"?>
<table xmlns="http://schemas.openxmlformats.org/spreadsheetml/2006/main" id="11" name="StaffTbl" displayName="StaffTbl" ref="A3:K43" headerRowCount="1" totalsRowCount="0" totalsRowShown="0">
  <autoFilter ref="A3:K43"/>
  <tableColumns count="11">
    <tableColumn id="1" name="Staff ID"/>
    <tableColumn id="2" name="Staff Name"/>
    <tableColumn id="3" name="Position"/>
    <tableColumn id="4" name="Start Date"/>
    <tableColumn id="5" name="Active?"/>
    <tableColumn id="6" name="Sales Target"/>
    <tableColumn id="7" name="Sales This Month"/>
    <tableColumn id="8" name="Gross Profit Generated"/>
    <tableColumn id="9" name="Number of Transactions"/>
    <tableColumn id="10" name="Average Sale"/>
    <tableColumn id="11" name="Notes"/>
  </tableColumns>
</table>
</file>

<file path=xl/tables/table12.xml><?xml version="1.0" encoding="utf-8"?>
<table xmlns="http://schemas.openxmlformats.org/spreadsheetml/2006/main" id="12" name="StockTakeTbl" displayName="StockTakeTbl" ref="A3:J63" headerRowCount="1" totalsRowCount="0" totalsRowShown="0">
  <autoFilter ref="A3:J63"/>
  <tableColumns count="10">
    <tableColumn id="1" name="Stock Take Date"/>
    <tableColumn id="2" name="Stock ID"/>
    <tableColumn id="3" name="Item"/>
    <tableColumn id="4" name="Expected Location"/>
    <tableColumn id="5" name="Expected Status"/>
    <tableColumn id="6" name="Physically Found?"/>
    <tableColumn id="7" name="Actual Location"/>
    <tableColumn id="8" name="Checked By"/>
    <tableColumn id="9" name="Difference"/>
    <tableColumn id="10" name="Notes"/>
  </tableColumns>
</table>
</file>

<file path=xl/tables/table13.xml><?xml version="1.0" encoding="utf-8"?>
<table xmlns="http://schemas.openxmlformats.org/spreadsheetml/2006/main" id="13" name="SuppliersTbl" displayName="SuppliersTbl" ref="A3:L63" headerRowCount="1" totalsRowCount="0" totalsRowShown="0">
  <autoFilter ref="A3:L63"/>
  <tableColumns count="12">
    <tableColumn id="1" name="Supplier ID"/>
    <tableColumn id="2" name="Supplier Name"/>
    <tableColumn id="3" name="Supplier Type"/>
    <tableColumn id="4" name="Contact Name"/>
    <tableColumn id="5" name="Telephone"/>
    <tableColumn id="6" name="Email"/>
    <tableColumn id="7" name="Address"/>
    <tableColumn id="8" name="VAT Number"/>
    <tableColumn id="9" name="Payment Terms"/>
    <tableColumn id="10" name="Total Purchases"/>
    <tableColumn id="11" name="Outstanding Amount"/>
    <tableColumn id="12" name="Notes"/>
  </tableColumns>
</table>
</file>

<file path=xl/tables/table14.xml><?xml version="1.0" encoding="utf-8"?>
<table xmlns="http://schemas.openxmlformats.org/spreadsheetml/2006/main" id="14" name="WatchTbl" displayName="WatchTbl" ref="A3:Y43" headerRowCount="1" totalsRowCount="0" totalsRowShown="0">
  <autoFilter ref="A3:Y43"/>
  <tableColumns count="25">
    <tableColumn id="1" name="Stock ID"/>
    <tableColumn id="2" name="Brand"/>
    <tableColumn id="3" name="Model"/>
    <tableColumn id="4" name="Reference Number"/>
    <tableColumn id="5" name="Serial Number"/>
    <tableColumn id="6" name="Year"/>
    <tableColumn id="7" name="Case Size"/>
    <tableColumn id="8" name="Case Material"/>
    <tableColumn id="9" name="Dial Colour"/>
    <tableColumn id="10" name="Bracelet/Strap"/>
    <tableColumn id="11" name="Movement"/>
    <tableColumn id="12" name="Auto/Manual/Quartz"/>
    <tableColumn id="13" name="Box"/>
    <tableColumn id="14" name="Papers"/>
    <tableColumn id="15" name="Warranty Card"/>
    <tableColumn id="16" name="Warranty Date"/>
    <tableColumn id="17" name="Service History"/>
    <tableColumn id="18" name="Last Service"/>
    <tableColumn id="19" name="Condition"/>
    <tableColumn id="20" name="Purchase Cost"/>
    <tableColumn id="21" name="Target Price"/>
    <tableColumn id="22" name="Current Price"/>
    <tableColumn id="23" name="Status"/>
    <tableColumn id="24" name="Location"/>
    <tableColumn id="25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5"/>
    <col collapsed="false" customWidth="true" hidden="false" outlineLevel="0" max="5" min="5" style="0" width="26"/>
    <col collapsed="false" customWidth="true" hidden="false" outlineLevel="0" max="7" min="6" style="0" width="15"/>
    <col collapsed="false" customWidth="true" hidden="false" outlineLevel="0" max="8" min="8" style="0" width="26"/>
    <col collapsed="false" customWidth="true" hidden="false" outlineLevel="0" max="10" min="9" style="0" width="15"/>
    <col collapsed="false" customWidth="true" hidden="false" outlineLevel="0" max="11" min="11" style="0" width="26"/>
    <col collapsed="false" customWidth="true" hidden="false" outlineLevel="0" max="14" min="12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9.5" hidden="false" customHeight="true" outlineLevel="0" collapsed="false">
      <c r="B4" s="3" t="s">
        <v>2</v>
      </c>
      <c r="C4" s="3"/>
      <c r="E4" s="3" t="s">
        <v>3</v>
      </c>
      <c r="F4" s="3"/>
      <c r="H4" s="3" t="s">
        <v>4</v>
      </c>
      <c r="I4" s="3"/>
      <c r="K4" s="3" t="s">
        <v>5</v>
      </c>
      <c r="L4" s="3"/>
    </row>
    <row r="5" customFormat="false" ht="15" hidden="false" customHeight="false" outlineLevel="0" collapsed="false">
      <c r="B5" s="4" t="s">
        <v>6</v>
      </c>
      <c r="C5" s="5" t="n">
        <f aca="false">COUNTA('INVENTORY MASTER'!$A$4:$A$63)</f>
        <v>6</v>
      </c>
      <c r="E5" s="4" t="s">
        <v>7</v>
      </c>
      <c r="F5" s="6" t="n">
        <f aca="false">SUMIFS(SALES!$K$4:$K$63,SALES!$B$4:$B$63,SETTINGS!$W$6)</f>
        <v>0</v>
      </c>
      <c r="H5" s="4" t="s">
        <v>8</v>
      </c>
      <c r="I5" s="6" t="n">
        <f aca="false">SUMIFS(SALES!$N$4:$N$63,SALES!$B$4:$B$63,"&gt;="&amp;SETTINGS!$W$7,SALES!$B$4:$B$63,"&lt;="&amp;SETTINGS!$W$8)</f>
        <v>0</v>
      </c>
      <c r="K5" s="4" t="s">
        <v>9</v>
      </c>
      <c r="L5" s="5" t="n">
        <f aca="false">SUMPRODUCT(('INVENTORY MASTER'!$AO$4:$AO$63&lt;&gt;"")*('INVENTORY MASTER'!$AN$4:$AN$63&lt;&gt;"")*('INVENTORY MASTER'!$AO$4:$AO$63&lt;'INVENTORY MASTER'!$AN$4:$AN$63))</f>
        <v>0</v>
      </c>
    </row>
    <row r="6" customFormat="false" ht="15" hidden="false" customHeight="false" outlineLevel="0" collapsed="false">
      <c r="B6" s="4" t="s">
        <v>10</v>
      </c>
      <c r="C6" s="5" t="n">
        <f aca="false">COUNTIF('INVENTORY MASTER'!$E$4:$E$63,"Watch")</f>
        <v>3</v>
      </c>
      <c r="E6" s="4" t="s">
        <v>11</v>
      </c>
      <c r="F6" s="6" t="n">
        <f aca="false">SUMIFS(SALES!$K$4:$K$63,SALES!$B$4:$B$63,"&gt;="&amp;SETTINGS!$W$11,SALES!$B$4:$B$63,"&lt;="&amp;SETTINGS!$W$6)</f>
        <v>0</v>
      </c>
      <c r="H6" s="4" t="s">
        <v>12</v>
      </c>
      <c r="I6" s="6" t="n">
        <f aca="false">SUMIFS(SALES!$N$4:$N$63,SALES!$B$4:$B$63,"&gt;="&amp;SETTINGS!$W$9,SALES!$B$4:$B$63,"&lt;="&amp;SETTINGS!$W$10)</f>
        <v>2100</v>
      </c>
      <c r="K6" s="4" t="s">
        <v>13</v>
      </c>
      <c r="L6" s="5" t="n">
        <f aca="false">COUNTIF('INVENTORY MASTER'!$AS$4:$AS$63,"Lost/Missing")</f>
        <v>0</v>
      </c>
    </row>
    <row r="7" customFormat="false" ht="15" hidden="false" customHeight="false" outlineLevel="0" collapsed="false">
      <c r="B7" s="4" t="s">
        <v>14</v>
      </c>
      <c r="C7" s="5" t="n">
        <f aca="false">COUNTIF('INVENTORY MASTER'!$E$4:$E$63,"Ring")+COUNTIF('INVENTORY MASTER'!$E$4:$E$63,"Bracelet")+COUNTIF('INVENTORY MASTER'!$E$4:$E$63,"Necklace")+COUNTIF('INVENTORY MASTER'!$E$4:$E$63,"Pendant")+COUNTIF('INVENTORY MASTER'!$E$4:$E$63,"Earrings")+COUNTIF('INVENTORY MASTER'!$E$4:$E$63,"Chain")+COUNTIF('INVENTORY MASTER'!$E$4:$E$63,"Gold")+COUNTIF('INVENTORY MASTER'!$E$4:$E$63,"Diamond Jewellery")</f>
        <v>3</v>
      </c>
      <c r="E7" s="4" t="s">
        <v>15</v>
      </c>
      <c r="F7" s="6" t="n">
        <f aca="false">SUMIFS(SALES!$K$4:$K$63,SALES!$B$4:$B$63,"&gt;="&amp;SETTINGS!$W$7,SALES!$B$4:$B$63,"&lt;="&amp;SETTINGS!$W$8)</f>
        <v>0</v>
      </c>
      <c r="H7" s="4" t="s">
        <v>16</v>
      </c>
      <c r="I7" s="6" t="n">
        <f aca="false">IFERROR(SUMIFS(SALES!$N$4:$N$63,SALES!$B$4:$B$63,"&gt;="&amp;SETTINGS!$W$9,SALES!$B$4:$B$63,"&lt;="&amp;SETTINGS!$W$10)/COUNTIFS(SALES!$B$4:$B$63,"&gt;="&amp;SETTINGS!$W$9,SALES!$B$4:$B$63,"&lt;="&amp;SETTINGS!$W$10),0)</f>
        <v>2100</v>
      </c>
      <c r="K7" s="4" t="s">
        <v>17</v>
      </c>
      <c r="L7" s="5" t="n">
        <f aca="false">SUMPRODUCT(('STOCK MOVEMENT'!$K$4:$K$63&lt;&gt;"")*('STOCK MOVEMENT'!$K$4:$K$63&lt;SETTINGS!$W$6)*('STOCK MOVEMENT'!$M$4:$M$63&lt;&gt;"Yes")*('STOCK MOVEMENT'!$L$4:$L$63=""))</f>
        <v>1</v>
      </c>
    </row>
    <row r="8" customFormat="false" ht="15" hidden="false" customHeight="false" outlineLevel="0" collapsed="false">
      <c r="B8" s="4" t="s">
        <v>18</v>
      </c>
      <c r="C8" s="5" t="n">
        <f aca="false">COUNTIF('INVENTORY MASTER'!$AS$4:$AS$63,"Available")</f>
        <v>4</v>
      </c>
      <c r="E8" s="4" t="s">
        <v>19</v>
      </c>
      <c r="F8" s="6" t="n">
        <f aca="false">SUMIFS(SALES!$K$4:$K$63,SALES!$B$4:$B$63,"&gt;="&amp;SETTINGS!$W$9,SALES!$B$4:$B$63,"&lt;="&amp;SETTINGS!$W$10)</f>
        <v>10200</v>
      </c>
      <c r="H8" s="4" t="s">
        <v>20</v>
      </c>
      <c r="I8" s="7" t="n">
        <f aca="false">IFERROR(SUMIFS(SALES!$N$4:$N$63,SALES!$B$4:$B$63,"&gt;="&amp;SETTINGS!$W$9,SALES!$B$4:$B$63,"&lt;="&amp;SETTINGS!$W$10)/SUMIFS(SALES!$K$4:$K$63,SALES!$B$4:$B$63,"&gt;="&amp;SETTINGS!$W$9,SALES!$B$4:$B$63,"&lt;="&amp;SETTINGS!$W$10),0)</f>
        <v>0.205882352941176</v>
      </c>
      <c r="K8" s="4" t="s">
        <v>21</v>
      </c>
      <c r="L8" s="5" t="n">
        <f aca="false">COUNTIF(SALES!$N$4:$N$63,"&lt;0")</f>
        <v>0</v>
      </c>
    </row>
    <row r="9" customFormat="false" ht="15" hidden="false" customHeight="false" outlineLevel="0" collapsed="false">
      <c r="B9" s="4" t="s">
        <v>22</v>
      </c>
      <c r="C9" s="5" t="n">
        <f aca="false">COUNTIF('INVENTORY MASTER'!$AS$4:$AS$63,"Reserved")</f>
        <v>0</v>
      </c>
      <c r="E9" s="4" t="s">
        <v>23</v>
      </c>
      <c r="F9" s="5" t="n">
        <f aca="false">COUNTIFS(SALES!$B$4:$B$63,"&gt;="&amp;SETTINGS!$W$9,SALES!$B$4:$B$63,"&lt;="&amp;SETTINGS!$W$10)</f>
        <v>1</v>
      </c>
      <c r="H9" s="4" t="s">
        <v>24</v>
      </c>
      <c r="I9" s="6" t="n">
        <f aca="false">SUMIFS(EXPENSES!$I$4:$I$83,EXPENSES!$B$4:$B$83,"&gt;="&amp;SETTINGS!$W$7,EXPENSES!$B$4:$B$83,"&lt;="&amp;SETTINGS!$W$8)</f>
        <v>0</v>
      </c>
      <c r="K9" s="4" t="s">
        <v>25</v>
      </c>
      <c r="L9" s="5" t="n">
        <f aca="false">SUMPRODUCT(('INVENTORY MASTER'!$A$4:$A$63&lt;&gt;"")*('INVENTORY MASTER'!$E$4:$E$63="Watch")*('INVENTORY MASTER'!$J$4:$J$63=""))</f>
        <v>0</v>
      </c>
    </row>
    <row r="10" customFormat="false" ht="15" hidden="false" customHeight="false" outlineLevel="0" collapsed="false">
      <c r="B10" s="4" t="s">
        <v>26</v>
      </c>
      <c r="C10" s="5" t="n">
        <f aca="false">COUNTIF('INVENTORY MASTER'!$AS$4:$AS$63,"Sold")</f>
        <v>1</v>
      </c>
      <c r="H10" s="4" t="s">
        <v>27</v>
      </c>
      <c r="I10" s="6" t="n">
        <f aca="false">SUMIFS(EXPENSES!$I$4:$I$83,EXPENSES!$B$4:$B$83,"&gt;="&amp;SETTINGS!$W$9,EXPENSES!$B$4:$B$83,"&lt;="&amp;SETTINGS!$W$10)</f>
        <v>8720</v>
      </c>
      <c r="K10" s="4" t="s">
        <v>28</v>
      </c>
      <c r="L10" s="5" t="n">
        <f aca="false">SUMPRODUCT(('INVENTORY MASTER'!$J$4:$J$63&lt;&gt;"")*(COUNTIF('INVENTORY MASTER'!$J$4:$J$63,'INVENTORY MASTER'!$J$4:$J$63&amp;"")&gt;1))</f>
        <v>0</v>
      </c>
    </row>
    <row r="11" customFormat="false" ht="19.5" hidden="false" customHeight="true" outlineLevel="0" collapsed="false">
      <c r="B11" s="4" t="s">
        <v>29</v>
      </c>
      <c r="C11" s="5" t="n">
        <f aca="false">SUMPRODUCT(('INVENTORY MASTER'!$A$4:$A$63&lt;&gt;"")*('INVENTORY MASTER'!$AS$4:$AS$63&lt;&gt;"Sold")*('INVENTORY MASTER'!$AR$4:$AR$63&lt;&gt;"Shop Display")*('INVENTORY MASTER'!$AR$4:$AR$63&lt;&gt;"Shop Safe")*('INVENTORY MASTER'!$AR$4:$AR$63&lt;&gt;"Office"))</f>
        <v>1</v>
      </c>
      <c r="E11" s="3" t="s">
        <v>30</v>
      </c>
      <c r="F11" s="3"/>
      <c r="H11" s="4" t="s">
        <v>31</v>
      </c>
      <c r="I11" s="6" t="n">
        <f aca="false">I6-I10</f>
        <v>-6620</v>
      </c>
      <c r="K11" s="4" t="s">
        <v>32</v>
      </c>
      <c r="L11" s="5" t="n">
        <f aca="false">SUMPRODUCT(('INVENTORY MASTER'!$A$4:$A$63&lt;&gt;"")*('INVENTORY MASTER'!$AE$4:$AE$63=""))</f>
        <v>0</v>
      </c>
    </row>
    <row r="12" customFormat="false" ht="15" hidden="false" customHeight="false" outlineLevel="0" collapsed="false">
      <c r="B12" s="4" t="s">
        <v>33</v>
      </c>
      <c r="C12" s="5" t="n">
        <f aca="false">COUNTIF('INVENTORY MASTER'!$AS$4:$AS$63,"Lost/Missing")</f>
        <v>0</v>
      </c>
      <c r="E12" s="4" t="s">
        <v>34</v>
      </c>
      <c r="F12" s="6" t="n">
        <f aca="false">'PARTNER SUMMARY'!$B$16</f>
        <v>18100</v>
      </c>
      <c r="H12" s="4" t="s">
        <v>35</v>
      </c>
      <c r="I12" s="6" t="n">
        <f aca="false">C15</f>
        <v>6410</v>
      </c>
      <c r="K12" s="4" t="s">
        <v>36</v>
      </c>
      <c r="L12" s="5" t="n">
        <f aca="false">SUMPRODUCT(('INVENTORY MASTER'!$A$4:$A$63&lt;&gt;"")*('INVENTORY MASTER'!$AA$4:$AA$63=""))</f>
        <v>0</v>
      </c>
    </row>
    <row r="13" customFormat="false" ht="15" hidden="false" customHeight="false" outlineLevel="0" collapsed="false">
      <c r="B13" s="4" t="s">
        <v>37</v>
      </c>
      <c r="C13" s="6" t="n">
        <f aca="false">SUMIF('INVENTORY MASTER'!$AS$4:$AS$63,"&lt;&gt;Sold",'INVENTORY MASTER'!$AI$4:$AI$63)-SUMIF('INVENTORY MASTER'!$AS$4:$AS$63,"Written Off",'INVENTORY MASTER'!$AI$4:$AI$63)</f>
        <v>14690</v>
      </c>
      <c r="E13" s="4" t="s">
        <v>38</v>
      </c>
      <c r="F13" s="6" t="n">
        <f aca="false">'PARTNER SUMMARY'!$C$16</f>
        <v>3550</v>
      </c>
      <c r="H13" s="4" t="s">
        <v>39</v>
      </c>
      <c r="I13" s="5" t="n">
        <f aca="false">SUMPRODUCT(('INVENTORY MASTER'!$AO$4:$AO$63&lt;&gt;"")*('INVENTORY MASTER'!$AN$4:$AN$63&lt;&gt;"")*('INVENTORY MASTER'!$AO$4:$AO$63&lt;'INVENTORY MASTER'!$AN$4:$AN$63))</f>
        <v>0</v>
      </c>
      <c r="K13" s="4" t="s">
        <v>40</v>
      </c>
      <c r="L13" s="5" t="n">
        <f aca="false">SUMPRODUCT(('INVENTORY MASTER'!$A$4:$A$63&lt;&gt;"")*('INVENTORY MASTER'!$AS$4:$AS$63&lt;&gt;"Sold")*('INVENTORY MASTER'!$BA$4:$BA$63=""))</f>
        <v>1</v>
      </c>
    </row>
    <row r="14" customFormat="false" ht="15" hidden="false" customHeight="false" outlineLevel="0" collapsed="false">
      <c r="B14" s="4" t="s">
        <v>41</v>
      </c>
      <c r="C14" s="6" t="n">
        <f aca="false">SUMIF('INVENTORY MASTER'!$AS$4:$AS$63,"&lt;&gt;Sold",'INVENTORY MASTER'!$AM$4:$AM$63)-SUMIF('INVENTORY MASTER'!$AS$4:$AS$63,"Written Off",'INVENTORY MASTER'!$AM$4:$AM$63)</f>
        <v>21100</v>
      </c>
      <c r="E14" s="4" t="s">
        <v>42</v>
      </c>
      <c r="F14" s="6" t="n">
        <f aca="false">'PARTNER SUMMARY'!$D$16</f>
        <v>7790</v>
      </c>
      <c r="H14" s="4" t="s">
        <v>43</v>
      </c>
      <c r="I14" s="5" t="n">
        <f aca="false">COUNTIF(SALES!$M$4:$M$63,"&gt;0.2")</f>
        <v>0</v>
      </c>
      <c r="K14" s="4" t="s">
        <v>44</v>
      </c>
      <c r="L14" s="5" t="n">
        <f aca="false">SUMPRODUCT(('INVENTORY MASTER'!$AT$4:$AT$63&lt;&gt;"")*('INVENTORY MASTER'!$AS$4:$AS$63="Available"))</f>
        <v>0</v>
      </c>
    </row>
    <row r="15" customFormat="false" ht="15" hidden="false" customHeight="false" outlineLevel="0" collapsed="false">
      <c r="B15" s="4" t="s">
        <v>45</v>
      </c>
      <c r="C15" s="6" t="n">
        <f aca="false">C14-C13</f>
        <v>6410</v>
      </c>
      <c r="E15" s="4" t="s">
        <v>46</v>
      </c>
      <c r="F15" s="6" t="n">
        <f aca="false">'PARTNER SUMMARY'!$E$16</f>
        <v>29440</v>
      </c>
      <c r="H15" s="4" t="s">
        <v>47</v>
      </c>
      <c r="I15" s="5" t="n">
        <f aca="false">COUNTIF(SALES!$N$4:$N$63,"&lt;0")</f>
        <v>0</v>
      </c>
      <c r="K15" s="4" t="s">
        <v>48</v>
      </c>
      <c r="L15" s="5" t="n">
        <f aca="false">COUNTIF('PARTNER CONTRIBUTIONS'!$M$4:$M$63,"&gt;0")</f>
        <v>5</v>
      </c>
    </row>
    <row r="19" customFormat="false" ht="15" hidden="false" customHeight="false" outlineLevel="0" collapsed="false">
      <c r="B19" s="8" t="s">
        <v>49</v>
      </c>
      <c r="F19" s="8" t="s">
        <v>50</v>
      </c>
      <c r="J19" s="8" t="s">
        <v>51</v>
      </c>
      <c r="M19" s="8" t="s">
        <v>52</v>
      </c>
    </row>
    <row r="20" customFormat="false" ht="15" hidden="false" customHeight="false" outlineLevel="0" collapsed="false">
      <c r="B20" s="9" t="s">
        <v>53</v>
      </c>
      <c r="C20" s="9" t="s">
        <v>54</v>
      </c>
      <c r="D20" s="9" t="s">
        <v>55</v>
      </c>
      <c r="F20" s="9" t="s">
        <v>56</v>
      </c>
      <c r="G20" s="9" t="s">
        <v>54</v>
      </c>
      <c r="H20" s="9" t="s">
        <v>57</v>
      </c>
      <c r="J20" s="9" t="s">
        <v>58</v>
      </c>
      <c r="K20" s="9" t="s">
        <v>54</v>
      </c>
      <c r="M20" s="9" t="s">
        <v>56</v>
      </c>
      <c r="N20" s="9" t="s">
        <v>59</v>
      </c>
    </row>
    <row r="21" customFormat="false" ht="15" hidden="false" customHeight="false" outlineLevel="0" collapsed="false">
      <c r="B21" s="10" t="s">
        <v>60</v>
      </c>
      <c r="C21" s="11" t="n">
        <f aca="false">SUMIFS(SALES!$K$4:$K$63,SALES!$B$4:$B$63,"&gt;="&amp;DATE(YEAR(SETTINGS!$W$9),1,1),SALES!$B$4:$B$63,"&lt;="&amp;EOMONTH(DATE(YEAR(SETTINGS!$W$9),1,1),0))</f>
        <v>0</v>
      </c>
      <c r="D21" s="11" t="n">
        <f aca="false">SUMIFS(SALES!$N$4:$N$63,SALES!$B$4:$B$63,"&gt;="&amp;DATE(YEAR(SETTINGS!$W$9),1,1),SALES!$B$4:$B$63,"&lt;="&amp;EOMONTH(DATE(YEAR(SETTINGS!$W$9),1,1),0))</f>
        <v>0</v>
      </c>
      <c r="F21" s="10" t="s">
        <v>61</v>
      </c>
      <c r="G21" s="11" t="n">
        <f aca="false">SUMIFS(SALES!$K$4:$K$63,SALES!$E$4:$E$63,"Watch")</f>
        <v>10200</v>
      </c>
      <c r="H21" s="11" t="n">
        <f aca="false">SUMIFS('INVENTORY MASTER'!$AI$4:$AI$63,'INVENTORY MASTER'!$E$4:$E$63,"Watch")-SUMIFS('INVENTORY MASTER'!$AI$4:$AI$63,'INVENTORY MASTER'!$E$4:$E$63,"Watch",'INVENTORY MASTER'!$AS$4:$AS$63,"Sold")-SUMIFS('INVENTORY MASTER'!$AI$4:$AI$63,'INVENTORY MASTER'!$E$4:$E$63,"Watch",'INVENTORY MASTER'!$AS$4:$AS$63,"Written Off")</f>
        <v>7990</v>
      </c>
      <c r="J21" s="10" t="s">
        <v>62</v>
      </c>
      <c r="K21" s="11" t="n">
        <f aca="false">SUMIFS(SALES!$K$4:$K$63,SALES!$F$4:$F$63,"Sarah Hughes")</f>
        <v>10200</v>
      </c>
      <c r="M21" s="10" t="s">
        <v>63</v>
      </c>
      <c r="N21" s="11" t="n">
        <f aca="false">SUMIFS(EXPENSES!$I$4:$I$83,EXPENSES!$D$4:$D$83,"Rent")</f>
        <v>3000</v>
      </c>
    </row>
    <row r="22" customFormat="false" ht="15" hidden="false" customHeight="false" outlineLevel="0" collapsed="false">
      <c r="B22" s="10" t="s">
        <v>64</v>
      </c>
      <c r="C22" s="11" t="n">
        <f aca="false">SUMIFS(SALES!$K$4:$K$63,SALES!$B$4:$B$63,"&gt;="&amp;DATE(YEAR(SETTINGS!$W$9),2,1),SALES!$B$4:$B$63,"&lt;="&amp;EOMONTH(DATE(YEAR(SETTINGS!$W$9),2,1),0))</f>
        <v>10200</v>
      </c>
      <c r="D22" s="11" t="n">
        <f aca="false">SUMIFS(SALES!$N$4:$N$63,SALES!$B$4:$B$63,"&gt;="&amp;DATE(YEAR(SETTINGS!$W$9),2,1),SALES!$B$4:$B$63,"&lt;="&amp;EOMONTH(DATE(YEAR(SETTINGS!$W$9),2,1),0))</f>
        <v>2100</v>
      </c>
      <c r="F22" s="10" t="s">
        <v>65</v>
      </c>
      <c r="G22" s="11" t="n">
        <f aca="false">SUMIFS(SALES!$K$4:$K$63,SALES!$E$4:$E$63,"Ring")</f>
        <v>0</v>
      </c>
      <c r="H22" s="11" t="n">
        <f aca="false">SUMIFS('INVENTORY MASTER'!$AI$4:$AI$63,'INVENTORY MASTER'!$E$4:$E$63,"Ring")-SUMIFS('INVENTORY MASTER'!$AI$4:$AI$63,'INVENTORY MASTER'!$E$4:$E$63,"Ring",'INVENTORY MASTER'!$AS$4:$AS$63,"Sold")-SUMIFS('INVENTORY MASTER'!$AI$4:$AI$63,'INVENTORY MASTER'!$E$4:$E$63,"Ring",'INVENTORY MASTER'!$AS$4:$AS$63,"Written Off")</f>
        <v>0</v>
      </c>
      <c r="J22" s="10" t="s">
        <v>66</v>
      </c>
      <c r="K22" s="11" t="n">
        <f aca="false">SUMIFS(SALES!$K$4:$K$63,SALES!$F$4:$F$63,"James Patel")</f>
        <v>0</v>
      </c>
      <c r="M22" s="10" t="s">
        <v>67</v>
      </c>
      <c r="N22" s="11" t="n">
        <f aca="false">SUMIFS(EXPENSES!$I$4:$I$83,EXPENSES!$D$4:$D$83,"Refurbishment")</f>
        <v>5000</v>
      </c>
    </row>
    <row r="23" customFormat="false" ht="15" hidden="false" customHeight="false" outlineLevel="0" collapsed="false">
      <c r="B23" s="10" t="s">
        <v>68</v>
      </c>
      <c r="C23" s="11" t="n">
        <f aca="false">SUMIFS(SALES!$K$4:$K$63,SALES!$B$4:$B$63,"&gt;="&amp;DATE(YEAR(SETTINGS!$W$9),3,1),SALES!$B$4:$B$63,"&lt;="&amp;EOMONTH(DATE(YEAR(SETTINGS!$W$9),3,1),0))</f>
        <v>0</v>
      </c>
      <c r="D23" s="11" t="n">
        <f aca="false">SUMIFS(SALES!$N$4:$N$63,SALES!$B$4:$B$63,"&gt;="&amp;DATE(YEAR(SETTINGS!$W$9),3,1),SALES!$B$4:$B$63,"&lt;="&amp;EOMONTH(DATE(YEAR(SETTINGS!$W$9),3,1),0))</f>
        <v>0</v>
      </c>
      <c r="F23" s="10" t="s">
        <v>69</v>
      </c>
      <c r="G23" s="11" t="n">
        <f aca="false">SUMIFS(SALES!$K$4:$K$63,SALES!$E$4:$E$63,"Bracelet")</f>
        <v>0</v>
      </c>
      <c r="H23" s="11" t="n">
        <f aca="false">SUMIFS('INVENTORY MASTER'!$AI$4:$AI$63,'INVENTORY MASTER'!$E$4:$E$63,"Bracelet")-SUMIFS('INVENTORY MASTER'!$AI$4:$AI$63,'INVENTORY MASTER'!$E$4:$E$63,"Bracelet",'INVENTORY MASTER'!$AS$4:$AS$63,"Sold")-SUMIFS('INVENTORY MASTER'!$AI$4:$AI$63,'INVENTORY MASTER'!$E$4:$E$63,"Bracelet",'INVENTORY MASTER'!$AS$4:$AS$63,"Written Off")</f>
        <v>1650</v>
      </c>
      <c r="J23" s="10" t="s">
        <v>70</v>
      </c>
      <c r="K23" s="11" t="n">
        <f aca="false">SUMIFS(SALES!$K$4:$K$63,SALES!$F$4:$F$63,"Olivia Brown")</f>
        <v>0</v>
      </c>
      <c r="M23" s="10" t="s">
        <v>71</v>
      </c>
      <c r="N23" s="11" t="n">
        <f aca="false">SUMIFS(EXPENSES!$I$4:$I$83,EXPENSES!$D$4:$D$83,"Insurance")</f>
        <v>0</v>
      </c>
    </row>
    <row r="24" customFormat="false" ht="15" hidden="false" customHeight="false" outlineLevel="0" collapsed="false">
      <c r="B24" s="10" t="s">
        <v>72</v>
      </c>
      <c r="C24" s="11" t="n">
        <f aca="false">SUMIFS(SALES!$K$4:$K$63,SALES!$B$4:$B$63,"&gt;="&amp;DATE(YEAR(SETTINGS!$W$9),4,1),SALES!$B$4:$B$63,"&lt;="&amp;EOMONTH(DATE(YEAR(SETTINGS!$W$9),4,1),0))</f>
        <v>0</v>
      </c>
      <c r="D24" s="11" t="n">
        <f aca="false">SUMIFS(SALES!$N$4:$N$63,SALES!$B$4:$B$63,"&gt;="&amp;DATE(YEAR(SETTINGS!$W$9),4,1),SALES!$B$4:$B$63,"&lt;="&amp;EOMONTH(DATE(YEAR(SETTINGS!$W$9),4,1),0))</f>
        <v>0</v>
      </c>
      <c r="F24" s="10" t="s">
        <v>73</v>
      </c>
      <c r="G24" s="11" t="n">
        <f aca="false">SUMIFS(SALES!$K$4:$K$63,SALES!$E$4:$E$63,"Necklace")</f>
        <v>0</v>
      </c>
      <c r="H24" s="11" t="n">
        <f aca="false">SUMIFS('INVENTORY MASTER'!$AI$4:$AI$63,'INVENTORY MASTER'!$E$4:$E$63,"Necklace")-SUMIFS('INVENTORY MASTER'!$AI$4:$AI$63,'INVENTORY MASTER'!$E$4:$E$63,"Necklace",'INVENTORY MASTER'!$AS$4:$AS$63,"Sold")-SUMIFS('INVENTORY MASTER'!$AI$4:$AI$63,'INVENTORY MASTER'!$E$4:$E$63,"Necklace",'INVENTORY MASTER'!$AS$4:$AS$63,"Written Off")</f>
        <v>0</v>
      </c>
      <c r="J24" s="10" t="s">
        <v>74</v>
      </c>
      <c r="K24" s="11" t="n">
        <f aca="false">SUMIFS(SALES!$K$4:$K$63,SALES!$F$4:$F$63,"David Khan")</f>
        <v>0</v>
      </c>
      <c r="M24" s="10" t="s">
        <v>75</v>
      </c>
      <c r="N24" s="11" t="n">
        <f aca="false">SUMIFS(EXPENSES!$I$4:$I$83,EXPENSES!$D$4:$D$83,"Staff Wages")</f>
        <v>0</v>
      </c>
    </row>
    <row r="25" customFormat="false" ht="15" hidden="false" customHeight="false" outlineLevel="0" collapsed="false">
      <c r="B25" s="10" t="s">
        <v>76</v>
      </c>
      <c r="C25" s="11" t="n">
        <f aca="false">SUMIFS(SALES!$K$4:$K$63,SALES!$B$4:$B$63,"&gt;="&amp;DATE(YEAR(SETTINGS!$W$9),5,1),SALES!$B$4:$B$63,"&lt;="&amp;EOMONTH(DATE(YEAR(SETTINGS!$W$9),5,1),0))</f>
        <v>0</v>
      </c>
      <c r="D25" s="11" t="n">
        <f aca="false">SUMIFS(SALES!$N$4:$N$63,SALES!$B$4:$B$63,"&gt;="&amp;DATE(YEAR(SETTINGS!$W$9),5,1),SALES!$B$4:$B$63,"&lt;="&amp;EOMONTH(DATE(YEAR(SETTINGS!$W$9),5,1),0))</f>
        <v>0</v>
      </c>
      <c r="F25" s="10" t="s">
        <v>77</v>
      </c>
      <c r="G25" s="11" t="n">
        <f aca="false">SUMIFS(SALES!$K$4:$K$63,SALES!$E$4:$E$63,"Pendant")</f>
        <v>0</v>
      </c>
      <c r="H25" s="11" t="n">
        <f aca="false">SUMIFS('INVENTORY MASTER'!$AI$4:$AI$63,'INVENTORY MASTER'!$E$4:$E$63,"Pendant")-SUMIFS('INVENTORY MASTER'!$AI$4:$AI$63,'INVENTORY MASTER'!$E$4:$E$63,"Pendant",'INVENTORY MASTER'!$AS$4:$AS$63,"Sold")-SUMIFS('INVENTORY MASTER'!$AI$4:$AI$63,'INVENTORY MASTER'!$E$4:$E$63,"Pendant",'INVENTORY MASTER'!$AS$4:$AS$63,"Written Off")</f>
        <v>0</v>
      </c>
      <c r="M25" s="10" t="s">
        <v>78</v>
      </c>
      <c r="N25" s="11" t="n">
        <f aca="false">SUMIFS(EXPENSES!$I$4:$I$83,EXPENSES!$D$4:$D$83,"Marketing")</f>
        <v>0</v>
      </c>
    </row>
    <row r="26" customFormat="false" ht="15" hidden="false" customHeight="false" outlineLevel="0" collapsed="false">
      <c r="B26" s="10" t="s">
        <v>79</v>
      </c>
      <c r="C26" s="11" t="n">
        <f aca="false">SUMIFS(SALES!$K$4:$K$63,SALES!$B$4:$B$63,"&gt;="&amp;DATE(YEAR(SETTINGS!$W$9),6,1),SALES!$B$4:$B$63,"&lt;="&amp;EOMONTH(DATE(YEAR(SETTINGS!$W$9),6,1),0))</f>
        <v>0</v>
      </c>
      <c r="D26" s="11" t="n">
        <f aca="false">SUMIFS(SALES!$N$4:$N$63,SALES!$B$4:$B$63,"&gt;="&amp;DATE(YEAR(SETTINGS!$W$9),6,1),SALES!$B$4:$B$63,"&lt;="&amp;EOMONTH(DATE(YEAR(SETTINGS!$W$9),6,1),0))</f>
        <v>0</v>
      </c>
      <c r="F26" s="10" t="s">
        <v>80</v>
      </c>
      <c r="G26" s="11" t="n">
        <f aca="false">SUMIFS(SALES!$K$4:$K$63,SALES!$E$4:$E$63,"Earrings")</f>
        <v>0</v>
      </c>
      <c r="H26" s="11" t="n">
        <f aca="false">SUMIFS('INVENTORY MASTER'!$AI$4:$AI$63,'INVENTORY MASTER'!$E$4:$E$63,"Earrings")-SUMIFS('INVENTORY MASTER'!$AI$4:$AI$63,'INVENTORY MASTER'!$E$4:$E$63,"Earrings",'INVENTORY MASTER'!$AS$4:$AS$63,"Sold")-SUMIFS('INVENTORY MASTER'!$AI$4:$AI$63,'INVENTORY MASTER'!$E$4:$E$63,"Earrings",'INVENTORY MASTER'!$AS$4:$AS$63,"Written Off")</f>
        <v>0</v>
      </c>
      <c r="M26" s="10" t="s">
        <v>81</v>
      </c>
      <c r="N26" s="11" t="n">
        <f aca="false">SUMIFS(EXPENSES!$I$4:$I$83,EXPENSES!$D$4:$D$83,"Stock Insurance")</f>
        <v>720</v>
      </c>
    </row>
    <row r="27" customFormat="false" ht="15" hidden="false" customHeight="false" outlineLevel="0" collapsed="false">
      <c r="B27" s="10" t="s">
        <v>82</v>
      </c>
      <c r="C27" s="11" t="n">
        <f aca="false">SUMIFS(SALES!$K$4:$K$63,SALES!$B$4:$B$63,"&gt;="&amp;DATE(YEAR(SETTINGS!$W$9),7,1),SALES!$B$4:$B$63,"&lt;="&amp;EOMONTH(DATE(YEAR(SETTINGS!$W$9),7,1),0))</f>
        <v>0</v>
      </c>
      <c r="D27" s="11" t="n">
        <f aca="false">SUMIFS(SALES!$N$4:$N$63,SALES!$B$4:$B$63,"&gt;="&amp;DATE(YEAR(SETTINGS!$W$9),7,1),SALES!$B$4:$B$63,"&lt;="&amp;EOMONTH(DATE(YEAR(SETTINGS!$W$9),7,1),0))</f>
        <v>0</v>
      </c>
      <c r="F27" s="10" t="s">
        <v>83</v>
      </c>
      <c r="G27" s="11" t="n">
        <f aca="false">SUMIFS(SALES!$K$4:$K$63,SALES!$E$4:$E$63,"Chain")</f>
        <v>0</v>
      </c>
      <c r="H27" s="11" t="n">
        <f aca="false">SUMIFS('INVENTORY MASTER'!$AI$4:$AI$63,'INVENTORY MASTER'!$E$4:$E$63,"Chain")-SUMIFS('INVENTORY MASTER'!$AI$4:$AI$63,'INVENTORY MASTER'!$E$4:$E$63,"Chain",'INVENTORY MASTER'!$AS$4:$AS$63,"Sold")-SUMIFS('INVENTORY MASTER'!$AI$4:$AI$63,'INVENTORY MASTER'!$E$4:$E$63,"Chain",'INVENTORY MASTER'!$AS$4:$AS$63,"Written Off")</f>
        <v>0</v>
      </c>
      <c r="M27" s="10" t="s">
        <v>84</v>
      </c>
      <c r="N27" s="11" t="n">
        <f aca="false">SUMIFS(EXPENSES!$I$4:$I$83,EXPENSES!$D$4:$D$83,"Business Rates")</f>
        <v>0</v>
      </c>
    </row>
    <row r="28" customFormat="false" ht="15" hidden="false" customHeight="false" outlineLevel="0" collapsed="false">
      <c r="B28" s="10" t="s">
        <v>85</v>
      </c>
      <c r="C28" s="11" t="n">
        <f aca="false">SUMIFS(SALES!$K$4:$K$63,SALES!$B$4:$B$63,"&gt;="&amp;DATE(YEAR(SETTINGS!$W$9),8,1),SALES!$B$4:$B$63,"&lt;="&amp;EOMONTH(DATE(YEAR(SETTINGS!$W$9),8,1),0))</f>
        <v>0</v>
      </c>
      <c r="D28" s="11" t="n">
        <f aca="false">SUMIFS(SALES!$N$4:$N$63,SALES!$B$4:$B$63,"&gt;="&amp;DATE(YEAR(SETTINGS!$W$9),8,1),SALES!$B$4:$B$63,"&lt;="&amp;EOMONTH(DATE(YEAR(SETTINGS!$W$9),8,1),0))</f>
        <v>0</v>
      </c>
      <c r="F28" s="10" t="s">
        <v>86</v>
      </c>
      <c r="G28" s="11" t="n">
        <f aca="false">SUMIFS(SALES!$K$4:$K$63,SALES!$E$4:$E$63,"Gold")</f>
        <v>0</v>
      </c>
      <c r="H28" s="11" t="n">
        <f aca="false">SUMIFS('INVENTORY MASTER'!$AI$4:$AI$63,'INVENTORY MASTER'!$E$4:$E$63,"Gold")-SUMIFS('INVENTORY MASTER'!$AI$4:$AI$63,'INVENTORY MASTER'!$E$4:$E$63,"Gold",'INVENTORY MASTER'!$AS$4:$AS$63,"Sold")-SUMIFS('INVENTORY MASTER'!$AI$4:$AI$63,'INVENTORY MASTER'!$E$4:$E$63,"Gold",'INVENTORY MASTER'!$AS$4:$AS$63,"Written Off")</f>
        <v>1500</v>
      </c>
      <c r="M28" s="10" t="s">
        <v>87</v>
      </c>
      <c r="N28" s="11" t="n">
        <f aca="false">SUMIFS(EXPENSES!$I$4:$I$83,EXPENSES!$D$4:$D$83,"Software")</f>
        <v>0</v>
      </c>
    </row>
    <row r="29" customFormat="false" ht="15" hidden="false" customHeight="false" outlineLevel="0" collapsed="false">
      <c r="B29" s="10" t="s">
        <v>88</v>
      </c>
      <c r="C29" s="11" t="n">
        <f aca="false">SUMIFS(SALES!$K$4:$K$63,SALES!$B$4:$B$63,"&gt;="&amp;DATE(YEAR(SETTINGS!$W$9),9,1),SALES!$B$4:$B$63,"&lt;="&amp;EOMONTH(DATE(YEAR(SETTINGS!$W$9),9,1),0))</f>
        <v>0</v>
      </c>
      <c r="D29" s="11" t="n">
        <f aca="false">SUMIFS(SALES!$N$4:$N$63,SALES!$B$4:$B$63,"&gt;="&amp;DATE(YEAR(SETTINGS!$W$9),9,1),SALES!$B$4:$B$63,"&lt;="&amp;EOMONTH(DATE(YEAR(SETTINGS!$W$9),9,1),0))</f>
        <v>0</v>
      </c>
      <c r="F29" s="10" t="s">
        <v>89</v>
      </c>
      <c r="G29" s="11" t="n">
        <f aca="false">SUMIFS(SALES!$K$4:$K$63,SALES!$E$4:$E$63,"Diamond Jewellery")</f>
        <v>0</v>
      </c>
      <c r="H29" s="11" t="n">
        <f aca="false">SUMIFS('INVENTORY MASTER'!$AI$4:$AI$63,'INVENTORY MASTER'!$E$4:$E$63,"Diamond Jewellery")-SUMIFS('INVENTORY MASTER'!$AI$4:$AI$63,'INVENTORY MASTER'!$E$4:$E$63,"Diamond Jewellery",'INVENTORY MASTER'!$AS$4:$AS$63,"Sold")-SUMIFS('INVENTORY MASTER'!$AI$4:$AI$63,'INVENTORY MASTER'!$E$4:$E$63,"Diamond Jewellery",'INVENTORY MASTER'!$AS$4:$AS$63,"Written Off")</f>
        <v>3550</v>
      </c>
      <c r="M29" s="10" t="s">
        <v>90</v>
      </c>
      <c r="N29" s="11" t="n">
        <f aca="false">SUMIFS(EXPENSES!$I$4:$I$83,EXPENSES!$D$4:$D$83,"Miscellaneous")</f>
        <v>0</v>
      </c>
    </row>
    <row r="30" customFormat="false" ht="15" hidden="false" customHeight="false" outlineLevel="0" collapsed="false">
      <c r="B30" s="10" t="s">
        <v>91</v>
      </c>
      <c r="C30" s="11" t="n">
        <f aca="false">SUMIFS(SALES!$K$4:$K$63,SALES!$B$4:$B$63,"&gt;="&amp;DATE(YEAR(SETTINGS!$W$9),10,1),SALES!$B$4:$B$63,"&lt;="&amp;EOMONTH(DATE(YEAR(SETTINGS!$W$9),10,1),0))</f>
        <v>0</v>
      </c>
      <c r="D30" s="11" t="n">
        <f aca="false">SUMIFS(SALES!$N$4:$N$63,SALES!$B$4:$B$63,"&gt;="&amp;DATE(YEAR(SETTINGS!$W$9),10,1),SALES!$B$4:$B$63,"&lt;="&amp;EOMONTH(DATE(YEAR(SETTINGS!$W$9),10,1),0))</f>
        <v>0</v>
      </c>
      <c r="F30" s="10" t="s">
        <v>92</v>
      </c>
      <c r="G30" s="11" t="n">
        <f aca="false">SUMIFS(SALES!$K$4:$K$63,SALES!$E$4:$E$63,"Other")</f>
        <v>0</v>
      </c>
      <c r="H30" s="11" t="n">
        <f aca="false">SUMIFS('INVENTORY MASTER'!$AI$4:$AI$63,'INVENTORY MASTER'!$E$4:$E$63,"Other")-SUMIFS('INVENTORY MASTER'!$AI$4:$AI$63,'INVENTORY MASTER'!$E$4:$E$63,"Other",'INVENTORY MASTER'!$AS$4:$AS$63,"Sold")-SUMIFS('INVENTORY MASTER'!$AI$4:$AI$63,'INVENTORY MASTER'!$E$4:$E$63,"Other",'INVENTORY MASTER'!$AS$4:$AS$63,"Written Off")</f>
        <v>0</v>
      </c>
    </row>
    <row r="31" customFormat="false" ht="15" hidden="false" customHeight="false" outlineLevel="0" collapsed="false">
      <c r="B31" s="10" t="s">
        <v>93</v>
      </c>
      <c r="C31" s="11" t="n">
        <f aca="false">SUMIFS(SALES!$K$4:$K$63,SALES!$B$4:$B$63,"&gt;="&amp;DATE(YEAR(SETTINGS!$W$9),11,1),SALES!$B$4:$B$63,"&lt;="&amp;EOMONTH(DATE(YEAR(SETTINGS!$W$9),11,1),0))</f>
        <v>0</v>
      </c>
      <c r="D31" s="11" t="n">
        <f aca="false">SUMIFS(SALES!$N$4:$N$63,SALES!$B$4:$B$63,"&gt;="&amp;DATE(YEAR(SETTINGS!$W$9),11,1),SALES!$B$4:$B$63,"&lt;="&amp;EOMONTH(DATE(YEAR(SETTINGS!$W$9),11,1),0))</f>
        <v>0</v>
      </c>
    </row>
    <row r="32" customFormat="false" ht="15" hidden="false" customHeight="false" outlineLevel="0" collapsed="false">
      <c r="B32" s="10" t="s">
        <v>94</v>
      </c>
      <c r="C32" s="11" t="n">
        <f aca="false">SUMIFS(SALES!$K$4:$K$63,SALES!$B$4:$B$63,"&gt;="&amp;DATE(YEAR(SETTINGS!$W$9),12,1),SALES!$B$4:$B$63,"&lt;="&amp;EOMONTH(DATE(YEAR(SETTINGS!$W$9),12,1),0))</f>
        <v>0</v>
      </c>
      <c r="D32" s="11" t="n">
        <f aca="false">SUMIFS(SALES!$N$4:$N$63,SALES!$B$4:$B$63,"&gt;="&amp;DATE(YEAR(SETTINGS!$W$9),12,1),SALES!$B$4:$B$63,"&lt;="&amp;EOMONTH(DATE(YEAR(SETTINGS!$W$9),12,1),0))</f>
        <v>0</v>
      </c>
    </row>
    <row r="34" customFormat="false" ht="15" hidden="false" customHeight="false" outlineLevel="0" collapsed="false">
      <c r="B34" s="8" t="s">
        <v>95</v>
      </c>
    </row>
    <row r="35" customFormat="false" ht="15" hidden="false" customHeight="false" outlineLevel="0" collapsed="false">
      <c r="B35" s="9" t="s">
        <v>96</v>
      </c>
      <c r="C35" s="9" t="s">
        <v>97</v>
      </c>
      <c r="D35" s="9" t="s">
        <v>98</v>
      </c>
    </row>
    <row r="36" customFormat="false" ht="15" hidden="false" customHeight="false" outlineLevel="0" collapsed="false">
      <c r="B36" s="10" t="s">
        <v>99</v>
      </c>
      <c r="C36" s="11" t="n">
        <f aca="false">SUMIFS('PARTNER CONTRIBUTIONS'!$H$4:$H$63,'PARTNER CONTRIBUTIONS'!$C$4:$C$63,"Partner 1")</f>
        <v>18100</v>
      </c>
      <c r="D36" s="11" t="n">
        <f aca="false">SUMIFS('PARTNER CONTRIBUTIONS'!$K$4:$K$63,'PARTNER CONTRIBUTIONS'!$C$4:$C$63,"Partner 1")</f>
        <v>0</v>
      </c>
    </row>
    <row r="37" customFormat="false" ht="15" hidden="false" customHeight="false" outlineLevel="0" collapsed="false">
      <c r="B37" s="10" t="s">
        <v>100</v>
      </c>
      <c r="C37" s="11" t="n">
        <f aca="false">SUMIFS('PARTNER CONTRIBUTIONS'!$H$4:$H$63,'PARTNER CONTRIBUTIONS'!$C$4:$C$63,"Partner 2")</f>
        <v>3550</v>
      </c>
      <c r="D37" s="11" t="n">
        <f aca="false">SUMIFS('PARTNER CONTRIBUTIONS'!$K$4:$K$63,'PARTNER CONTRIBUTIONS'!$C$4:$C$63,"Partner 2")</f>
        <v>0</v>
      </c>
    </row>
    <row r="38" customFormat="false" ht="15" hidden="false" customHeight="false" outlineLevel="0" collapsed="false">
      <c r="B38" s="10" t="s">
        <v>101</v>
      </c>
      <c r="C38" s="11" t="n">
        <f aca="false">SUMIFS('PARTNER CONTRIBUTIONS'!$H$4:$H$63,'PARTNER CONTRIBUTIONS'!$C$4:$C$63,"Partner 3")</f>
        <v>9790</v>
      </c>
      <c r="D38" s="11" t="n">
        <f aca="false">SUMIFS('PARTNER CONTRIBUTIONS'!$K$4:$K$63,'PARTNER CONTRIBUTIONS'!$C$4:$C$63,"Partner 3")</f>
        <v>2000</v>
      </c>
    </row>
  </sheetData>
  <sheetProtection sheet="true" password="c7e9" objects="true" scenarios="true" sort="false" autoFilter="false"/>
  <mergeCells count="7">
    <mergeCell ref="A1:N1"/>
    <mergeCell ref="A2:N2"/>
    <mergeCell ref="B4:C4"/>
    <mergeCell ref="E4:F4"/>
    <mergeCell ref="H4:I4"/>
    <mergeCell ref="K4:L4"/>
    <mergeCell ref="E11:F11"/>
  </mergeCells>
  <conditionalFormatting sqref="L5">
    <cfRule type="cellIs" priority="2" operator="greaterThan" aboveAverage="0" equalAverage="0" bottom="0" percent="0" rank="0" text="" dxfId="0">
      <formula>0</formula>
    </cfRule>
  </conditionalFormatting>
  <conditionalFormatting sqref="L6">
    <cfRule type="cellIs" priority="3" operator="greaterThan" aboveAverage="0" equalAverage="0" bottom="0" percent="0" rank="0" text="" dxfId="0">
      <formula>0</formula>
    </cfRule>
  </conditionalFormatting>
  <conditionalFormatting sqref="L7">
    <cfRule type="cellIs" priority="4" operator="greaterThan" aboveAverage="0" equalAverage="0" bottom="0" percent="0" rank="0" text="" dxfId="0">
      <formula>0</formula>
    </cfRule>
  </conditionalFormatting>
  <conditionalFormatting sqref="L8">
    <cfRule type="cellIs" priority="5" operator="greaterThan" aboveAverage="0" equalAverage="0" bottom="0" percent="0" rank="0" text="" dxfId="0">
      <formula>0</formula>
    </cfRule>
  </conditionalFormatting>
  <conditionalFormatting sqref="L9">
    <cfRule type="cellIs" priority="6" operator="greaterThan" aboveAverage="0" equalAverage="0" bottom="0" percent="0" rank="0" text="" dxfId="0">
      <formula>0</formula>
    </cfRule>
  </conditionalFormatting>
  <conditionalFormatting sqref="L10">
    <cfRule type="cellIs" priority="7" operator="greaterThan" aboveAverage="0" equalAverage="0" bottom="0" percent="0" rank="0" text="" dxfId="0">
      <formula>0</formula>
    </cfRule>
  </conditionalFormatting>
  <conditionalFormatting sqref="L11">
    <cfRule type="cellIs" priority="8" operator="greaterThan" aboveAverage="0" equalAverage="0" bottom="0" percent="0" rank="0" text="" dxfId="0">
      <formula>0</formula>
    </cfRule>
  </conditionalFormatting>
  <conditionalFormatting sqref="L12">
    <cfRule type="cellIs" priority="9" operator="greaterThan" aboveAverage="0" equalAverage="0" bottom="0" percent="0" rank="0" text="" dxfId="0">
      <formula>0</formula>
    </cfRule>
  </conditionalFormatting>
  <conditionalFormatting sqref="L13">
    <cfRule type="cellIs" priority="10" operator="greaterThan" aboveAverage="0" equalAverage="0" bottom="0" percent="0" rank="0" text="" dxfId="0">
      <formula>0</formula>
    </cfRule>
  </conditionalFormatting>
  <conditionalFormatting sqref="L14">
    <cfRule type="cellIs" priority="11" operator="greaterThan" aboveAverage="0" equalAverage="0" bottom="0" percent="0" rank="0" text="" dxfId="0">
      <formula>0</formula>
    </cfRule>
  </conditionalFormatting>
  <conditionalFormatting sqref="L15">
    <cfRule type="cellIs" priority="1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30" hidden="false" customHeight="true" outlineLevel="0" collapsed="false">
      <c r="A1" s="1" t="s">
        <v>102</v>
      </c>
      <c r="B1" s="1"/>
      <c r="C1" s="1"/>
    </row>
    <row r="2" customFormat="false" ht="15.75" hidden="false" customHeight="true" outlineLevel="0" collapsed="false">
      <c r="A2" s="2" t="s">
        <v>103</v>
      </c>
      <c r="B2" s="2"/>
      <c r="C2" s="2"/>
    </row>
    <row r="4" customFormat="false" ht="19.5" hidden="false" customHeight="true" outlineLevel="0" collapsed="false">
      <c r="B4" s="12" t="s">
        <v>104</v>
      </c>
      <c r="C4" s="12"/>
    </row>
    <row r="5" customFormat="false" ht="30" hidden="false" customHeight="true" outlineLevel="0" collapsed="false">
      <c r="B5" s="13" t="s">
        <v>105</v>
      </c>
      <c r="C5" s="14" t="s">
        <v>106</v>
      </c>
    </row>
    <row r="6" customFormat="false" ht="30" hidden="false" customHeight="true" outlineLevel="0" collapsed="false">
      <c r="B6" s="13" t="s">
        <v>107</v>
      </c>
      <c r="C6" s="14" t="s">
        <v>108</v>
      </c>
    </row>
    <row r="7" customFormat="false" ht="30" hidden="false" customHeight="true" outlineLevel="0" collapsed="false">
      <c r="B7" s="13" t="s">
        <v>109</v>
      </c>
      <c r="C7" s="14" t="s">
        <v>110</v>
      </c>
    </row>
    <row r="8" customFormat="false" ht="30" hidden="false" customHeight="true" outlineLevel="0" collapsed="false">
      <c r="B8" s="13" t="s">
        <v>111</v>
      </c>
      <c r="C8" s="14" t="s">
        <v>112</v>
      </c>
    </row>
    <row r="10" customFormat="false" ht="19.5" hidden="false" customHeight="true" outlineLevel="0" collapsed="false">
      <c r="B10" s="12" t="s">
        <v>113</v>
      </c>
      <c r="C10" s="12"/>
    </row>
    <row r="11" customFormat="false" ht="30" hidden="false" customHeight="true" outlineLevel="0" collapsed="false">
      <c r="B11" s="13"/>
      <c r="C11" s="14" t="s">
        <v>114</v>
      </c>
    </row>
    <row r="12" customFormat="false" ht="30" hidden="false" customHeight="true" outlineLevel="0" collapsed="false">
      <c r="B12" s="13"/>
      <c r="C12" s="14" t="s">
        <v>115</v>
      </c>
    </row>
    <row r="13" customFormat="false" ht="30" hidden="false" customHeight="true" outlineLevel="0" collapsed="false">
      <c r="B13" s="13"/>
      <c r="C13" s="14" t="s">
        <v>116</v>
      </c>
    </row>
    <row r="14" customFormat="false" ht="30" hidden="false" customHeight="true" outlineLevel="0" collapsed="false">
      <c r="B14" s="13"/>
      <c r="C14" s="14" t="s">
        <v>117</v>
      </c>
    </row>
    <row r="15" customFormat="false" ht="30" hidden="false" customHeight="true" outlineLevel="0" collapsed="false">
      <c r="B15" s="13"/>
      <c r="C15" s="14" t="s">
        <v>118</v>
      </c>
    </row>
    <row r="16" customFormat="false" ht="30" hidden="false" customHeight="true" outlineLevel="0" collapsed="false">
      <c r="B16" s="13"/>
      <c r="C16" s="14" t="s">
        <v>119</v>
      </c>
    </row>
    <row r="18" customFormat="false" ht="19.5" hidden="false" customHeight="true" outlineLevel="0" collapsed="false">
      <c r="B18" s="12" t="s">
        <v>120</v>
      </c>
      <c r="C18" s="12"/>
    </row>
    <row r="19" customFormat="false" ht="30" hidden="false" customHeight="true" outlineLevel="0" collapsed="false">
      <c r="B19" s="13" t="s">
        <v>121</v>
      </c>
      <c r="C19" s="14" t="s">
        <v>122</v>
      </c>
    </row>
    <row r="20" customFormat="false" ht="30" hidden="false" customHeight="true" outlineLevel="0" collapsed="false">
      <c r="B20" s="13" t="s">
        <v>123</v>
      </c>
      <c r="C20" s="14" t="s">
        <v>124</v>
      </c>
    </row>
    <row r="21" customFormat="false" ht="30" hidden="false" customHeight="true" outlineLevel="0" collapsed="false">
      <c r="B21" s="13" t="s">
        <v>125</v>
      </c>
      <c r="C21" s="14" t="s">
        <v>126</v>
      </c>
    </row>
    <row r="23" customFormat="false" ht="19.5" hidden="false" customHeight="true" outlineLevel="0" collapsed="false">
      <c r="B23" s="12" t="s">
        <v>127</v>
      </c>
      <c r="C23" s="12"/>
    </row>
    <row r="24" customFormat="false" ht="30" hidden="false" customHeight="true" outlineLevel="0" collapsed="false">
      <c r="B24" s="13" t="s">
        <v>128</v>
      </c>
      <c r="C24" s="14" t="s">
        <v>129</v>
      </c>
    </row>
    <row r="25" customFormat="false" ht="30" hidden="false" customHeight="true" outlineLevel="0" collapsed="false">
      <c r="B25" s="13" t="s">
        <v>130</v>
      </c>
      <c r="C25" s="14" t="s">
        <v>131</v>
      </c>
    </row>
    <row r="27" customFormat="false" ht="19.5" hidden="false" customHeight="true" outlineLevel="0" collapsed="false">
      <c r="B27" s="12" t="s">
        <v>132</v>
      </c>
      <c r="C27" s="12"/>
    </row>
    <row r="28" customFormat="false" ht="30" hidden="false" customHeight="true" outlineLevel="0" collapsed="false">
      <c r="B28" s="13" t="s">
        <v>133</v>
      </c>
      <c r="C28" s="14" t="s">
        <v>134</v>
      </c>
    </row>
    <row r="29" customFormat="false" ht="30" hidden="false" customHeight="true" outlineLevel="0" collapsed="false">
      <c r="B29" s="13" t="s">
        <v>135</v>
      </c>
      <c r="C29" s="14" t="s">
        <v>136</v>
      </c>
    </row>
    <row r="30" customFormat="false" ht="30" hidden="false" customHeight="true" outlineLevel="0" collapsed="false">
      <c r="B30" s="13" t="s">
        <v>137</v>
      </c>
      <c r="C30" s="14" t="s">
        <v>138</v>
      </c>
    </row>
    <row r="31" customFormat="false" ht="30" hidden="false" customHeight="true" outlineLevel="0" collapsed="false">
      <c r="B31" s="13" t="s">
        <v>139</v>
      </c>
      <c r="C31" s="14" t="s">
        <v>140</v>
      </c>
    </row>
    <row r="33" customFormat="false" ht="19.5" hidden="false" customHeight="true" outlineLevel="0" collapsed="false">
      <c r="B33" s="12" t="s">
        <v>141</v>
      </c>
      <c r="C33" s="12"/>
    </row>
    <row r="34" customFormat="false" ht="30" hidden="false" customHeight="true" outlineLevel="0" collapsed="false">
      <c r="B34" s="13" t="s">
        <v>142</v>
      </c>
      <c r="C34" s="14" t="s">
        <v>143</v>
      </c>
    </row>
    <row r="35" customFormat="false" ht="30" hidden="false" customHeight="true" outlineLevel="0" collapsed="false">
      <c r="B35" s="13" t="s">
        <v>144</v>
      </c>
      <c r="C35" s="14" t="s">
        <v>145</v>
      </c>
    </row>
    <row r="36" customFormat="false" ht="30" hidden="false" customHeight="true" outlineLevel="0" collapsed="false">
      <c r="B36" s="13" t="s">
        <v>146</v>
      </c>
      <c r="C36" s="14" t="s">
        <v>147</v>
      </c>
    </row>
    <row r="37" customFormat="false" ht="30" hidden="false" customHeight="true" outlineLevel="0" collapsed="false">
      <c r="B37" s="13" t="s">
        <v>148</v>
      </c>
      <c r="C37" s="14" t="s">
        <v>149</v>
      </c>
    </row>
    <row r="38" customFormat="false" ht="30" hidden="false" customHeight="true" outlineLevel="0" collapsed="false">
      <c r="B38" s="13" t="s">
        <v>150</v>
      </c>
      <c r="C38" s="14" t="s">
        <v>151</v>
      </c>
    </row>
    <row r="40" customFormat="false" ht="19.5" hidden="false" customHeight="true" outlineLevel="0" collapsed="false">
      <c r="B40" s="12" t="s">
        <v>152</v>
      </c>
      <c r="C40" s="12"/>
    </row>
    <row r="41" customFormat="false" ht="30" hidden="false" customHeight="true" outlineLevel="0" collapsed="false">
      <c r="B41" s="13" t="s">
        <v>153</v>
      </c>
      <c r="C41" s="14" t="s">
        <v>154</v>
      </c>
    </row>
    <row r="42" customFormat="false" ht="30" hidden="false" customHeight="true" outlineLevel="0" collapsed="false">
      <c r="B42" s="13" t="s">
        <v>155</v>
      </c>
      <c r="C42" s="14" t="s">
        <v>156</v>
      </c>
    </row>
    <row r="43" customFormat="false" ht="30" hidden="false" customHeight="true" outlineLevel="0" collapsed="false">
      <c r="B43" s="13" t="s">
        <v>157</v>
      </c>
      <c r="C43" s="14" t="s">
        <v>158</v>
      </c>
    </row>
    <row r="44" customFormat="false" ht="30" hidden="false" customHeight="true" outlineLevel="0" collapsed="false">
      <c r="B44" s="13" t="s">
        <v>159</v>
      </c>
      <c r="C44" s="14" t="s">
        <v>160</v>
      </c>
    </row>
    <row r="45" customFormat="false" ht="30" hidden="false" customHeight="true" outlineLevel="0" collapsed="false">
      <c r="B45" s="13" t="s">
        <v>161</v>
      </c>
      <c r="C45" s="14" t="s">
        <v>162</v>
      </c>
    </row>
    <row r="46" customFormat="false" ht="30" hidden="false" customHeight="true" outlineLevel="0" collapsed="false">
      <c r="B46" s="13" t="s">
        <v>163</v>
      </c>
      <c r="C46" s="14" t="s">
        <v>164</v>
      </c>
    </row>
    <row r="47" customFormat="false" ht="30" hidden="false" customHeight="true" outlineLevel="0" collapsed="false">
      <c r="B47" s="13" t="s">
        <v>165</v>
      </c>
      <c r="C47" s="14" t="s">
        <v>166</v>
      </c>
    </row>
  </sheetData>
  <sheetProtection sheet="true" password="c7e9" objects="true" scenarios="true" sort="false" autoFilter="false"/>
  <mergeCells count="9">
    <mergeCell ref="A1:C1"/>
    <mergeCell ref="A2:C2"/>
    <mergeCell ref="B4:C4"/>
    <mergeCell ref="B10:C10"/>
    <mergeCell ref="B18:C18"/>
    <mergeCell ref="B23:C23"/>
    <mergeCell ref="B27:C27"/>
    <mergeCell ref="B33:C33"/>
    <mergeCell ref="B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21.7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8"/>
    <col collapsed="false" customWidth="true" hidden="false" outlineLevel="0" max="11" min="11" style="0" width="28"/>
    <col collapsed="false" customWidth="true" hidden="false" outlineLevel="0" max="29" min="12" style="0" width="13"/>
    <col collapsed="false" customWidth="true" hidden="false" outlineLevel="0" max="30" min="30" style="0" width="12"/>
    <col collapsed="false" customWidth="true" hidden="false" outlineLevel="0" max="31" min="31" style="0" width="15"/>
    <col collapsed="false" customWidth="true" hidden="false" outlineLevel="0" max="32" min="32" style="0" width="12"/>
    <col collapsed="false" customWidth="true" hidden="false" outlineLevel="0" max="33" min="33" style="0" width="15"/>
    <col collapsed="false" customWidth="true" hidden="false" outlineLevel="0" max="37" min="34" style="0" width="13"/>
    <col collapsed="false" customWidth="true" hidden="false" outlineLevel="0" max="38" min="38" style="0" width="22"/>
    <col collapsed="false" customWidth="true" hidden="false" outlineLevel="0" max="52" min="39" style="0" width="13"/>
    <col collapsed="false" customWidth="true" hidden="false" outlineLevel="0" max="53" min="53" style="0" width="20"/>
    <col collapsed="false" customWidth="true" hidden="false" outlineLevel="0" max="54" min="54" style="0" width="26"/>
  </cols>
  <sheetData>
    <row r="1" customFormat="false" ht="30" hidden="false" customHeight="true" outlineLevel="0" collapsed="false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Format="false" ht="15.75" hidden="false" customHeight="true" outlineLevel="0" collapsed="false">
      <c r="A2" s="2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customFormat="false" ht="30" hidden="false" customHeight="true" outlineLevel="0" collapsed="false">
      <c r="A3" s="15" t="s">
        <v>169</v>
      </c>
      <c r="B3" s="15" t="s">
        <v>170</v>
      </c>
      <c r="C3" s="15" t="s">
        <v>171</v>
      </c>
      <c r="D3" s="15" t="s">
        <v>172</v>
      </c>
      <c r="E3" s="15" t="s">
        <v>56</v>
      </c>
      <c r="F3" s="15" t="s">
        <v>173</v>
      </c>
      <c r="G3" s="15" t="s">
        <v>174</v>
      </c>
      <c r="H3" s="15" t="s">
        <v>175</v>
      </c>
      <c r="I3" s="15" t="s">
        <v>176</v>
      </c>
      <c r="J3" s="15" t="s">
        <v>177</v>
      </c>
      <c r="K3" s="15" t="s">
        <v>178</v>
      </c>
      <c r="L3" s="15" t="s">
        <v>179</v>
      </c>
      <c r="M3" s="15" t="s">
        <v>180</v>
      </c>
      <c r="N3" s="15" t="s">
        <v>181</v>
      </c>
      <c r="O3" s="15" t="s">
        <v>182</v>
      </c>
      <c r="P3" s="15" t="s">
        <v>183</v>
      </c>
      <c r="Q3" s="15" t="s">
        <v>184</v>
      </c>
      <c r="R3" s="15" t="s">
        <v>185</v>
      </c>
      <c r="S3" s="15" t="s">
        <v>186</v>
      </c>
      <c r="T3" s="15" t="s">
        <v>187</v>
      </c>
      <c r="U3" s="15" t="s">
        <v>188</v>
      </c>
      <c r="V3" s="15" t="s">
        <v>189</v>
      </c>
      <c r="W3" s="15" t="s">
        <v>190</v>
      </c>
      <c r="X3" s="15" t="s">
        <v>191</v>
      </c>
      <c r="Y3" s="15" t="s">
        <v>192</v>
      </c>
      <c r="Z3" s="15" t="s">
        <v>193</v>
      </c>
      <c r="AA3" s="15" t="s">
        <v>194</v>
      </c>
      <c r="AB3" s="15" t="s">
        <v>195</v>
      </c>
      <c r="AC3" s="15" t="s">
        <v>196</v>
      </c>
      <c r="AD3" s="15" t="s">
        <v>197</v>
      </c>
      <c r="AE3" s="15" t="s">
        <v>198</v>
      </c>
      <c r="AF3" s="15" t="s">
        <v>199</v>
      </c>
      <c r="AG3" s="15" t="s">
        <v>200</v>
      </c>
      <c r="AH3" s="15" t="s">
        <v>201</v>
      </c>
      <c r="AI3" s="15" t="s">
        <v>202</v>
      </c>
      <c r="AJ3" s="15" t="s">
        <v>203</v>
      </c>
      <c r="AK3" s="15" t="s">
        <v>204</v>
      </c>
      <c r="AL3" s="15" t="s">
        <v>205</v>
      </c>
      <c r="AM3" s="15" t="s">
        <v>206</v>
      </c>
      <c r="AN3" s="15" t="s">
        <v>207</v>
      </c>
      <c r="AO3" s="15" t="s">
        <v>208</v>
      </c>
      <c r="AP3" s="15" t="s">
        <v>209</v>
      </c>
      <c r="AQ3" s="15" t="s">
        <v>210</v>
      </c>
      <c r="AR3" s="15" t="s">
        <v>211</v>
      </c>
      <c r="AS3" s="15" t="s">
        <v>212</v>
      </c>
      <c r="AT3" s="15" t="s">
        <v>213</v>
      </c>
      <c r="AU3" s="15" t="s">
        <v>214</v>
      </c>
      <c r="AV3" s="15" t="s">
        <v>215</v>
      </c>
      <c r="AW3" s="15" t="s">
        <v>216</v>
      </c>
      <c r="AX3" s="15" t="s">
        <v>217</v>
      </c>
      <c r="AY3" s="15" t="s">
        <v>218</v>
      </c>
      <c r="AZ3" s="15" t="s">
        <v>219</v>
      </c>
      <c r="BA3" s="15" t="s">
        <v>220</v>
      </c>
      <c r="BB3" s="15" t="s">
        <v>221</v>
      </c>
    </row>
    <row r="4" customFormat="false" ht="54" hidden="false" customHeight="true" outlineLevel="0" collapsed="false">
      <c r="A4" s="16" t="s">
        <v>222</v>
      </c>
      <c r="B4" s="16"/>
      <c r="C4" s="16" t="s">
        <v>223</v>
      </c>
      <c r="D4" s="17" t="n">
        <v>46037</v>
      </c>
      <c r="E4" s="18" t="s">
        <v>61</v>
      </c>
      <c r="F4" s="18" t="s">
        <v>224</v>
      </c>
      <c r="G4" s="18" t="s">
        <v>225</v>
      </c>
      <c r="H4" s="18" t="s">
        <v>226</v>
      </c>
      <c r="I4" s="18" t="s">
        <v>227</v>
      </c>
      <c r="J4" s="18" t="s">
        <v>228</v>
      </c>
      <c r="K4" s="18" t="s">
        <v>229</v>
      </c>
      <c r="L4" s="18"/>
      <c r="M4" s="18"/>
      <c r="N4" s="19"/>
      <c r="O4" s="18"/>
      <c r="P4" s="19"/>
      <c r="Q4" s="18"/>
      <c r="R4" s="18"/>
      <c r="S4" s="18"/>
      <c r="T4" s="18" t="s">
        <v>230</v>
      </c>
      <c r="U4" s="18" t="s">
        <v>231</v>
      </c>
      <c r="V4" s="18" t="n">
        <v>2022</v>
      </c>
      <c r="W4" s="18" t="s">
        <v>232</v>
      </c>
      <c r="X4" s="18" t="s">
        <v>232</v>
      </c>
      <c r="Y4" s="18" t="s">
        <v>232</v>
      </c>
      <c r="Z4" s="18" t="s">
        <v>233</v>
      </c>
      <c r="AA4" s="18" t="s">
        <v>234</v>
      </c>
      <c r="AB4" s="18" t="s">
        <v>235</v>
      </c>
      <c r="AC4" s="18" t="s">
        <v>236</v>
      </c>
      <c r="AD4" s="18" t="s">
        <v>237</v>
      </c>
      <c r="AE4" s="19" t="n">
        <v>8000</v>
      </c>
      <c r="AF4" s="20"/>
      <c r="AG4" s="21" t="n">
        <f aca="false">IF($AE4="","",$AE4*IF($AD4="GBP",1,IF($AF4&lt;&gt;"",$AF4,IFERROR(INDEX(SETTINGS!$W$29:$W$36,MATCH($AD4,SETTINGS!$V$29:$V$36,0)),1))))</f>
        <v>8000</v>
      </c>
      <c r="AH4" s="22" t="n">
        <v>100</v>
      </c>
      <c r="AI4" s="21" t="n">
        <f aca="false">IF(N($AG4)+N($AH4)=0,"",N($AG4)+N($AH4))</f>
        <v>8100</v>
      </c>
      <c r="AJ4" s="18" t="s">
        <v>99</v>
      </c>
      <c r="AK4" s="18" t="s">
        <v>238</v>
      </c>
      <c r="AL4" s="18" t="s">
        <v>239</v>
      </c>
      <c r="AM4" s="22" t="n">
        <v>10500</v>
      </c>
      <c r="AN4" s="22" t="n">
        <v>9500</v>
      </c>
      <c r="AO4" s="22" t="n">
        <v>10500</v>
      </c>
      <c r="AP4" s="21" t="n">
        <f aca="false">IF(OR($AM4="",$AI4=""),"",$AM4-$AI4)</f>
        <v>2400</v>
      </c>
      <c r="AQ4" s="23" t="n">
        <f aca="false">IF(OR($AM4="",$AM4=0,$AP4=""),"",$AP4/$AM4)</f>
        <v>0.228571428571429</v>
      </c>
      <c r="AR4" s="18" t="s">
        <v>240</v>
      </c>
      <c r="AS4" s="18" t="s">
        <v>241</v>
      </c>
      <c r="AT4" s="17" t="n">
        <v>46063</v>
      </c>
      <c r="AU4" s="22" t="n">
        <v>10200</v>
      </c>
      <c r="AV4" s="21" t="n">
        <f aca="false">IF(OR($AU4="",$AI4=""),"",$AU4-$AI4)</f>
        <v>2100</v>
      </c>
      <c r="AW4" s="23" t="n">
        <f aca="false">IF(OR($AU4="",$AU4=0,$AV4=""),"",$AV4/$AU4)</f>
        <v>0.205882352941176</v>
      </c>
      <c r="AX4" s="18" t="s">
        <v>62</v>
      </c>
      <c r="AY4" s="18" t="s">
        <v>242</v>
      </c>
      <c r="AZ4" s="18" t="s">
        <v>243</v>
      </c>
      <c r="BA4" s="18" t="s">
        <v>244</v>
      </c>
      <c r="BB4" s="18" t="s">
        <v>245</v>
      </c>
    </row>
    <row r="5" customFormat="false" ht="54" hidden="false" customHeight="true" outlineLevel="0" collapsed="false">
      <c r="A5" s="16" t="s">
        <v>246</v>
      </c>
      <c r="B5" s="16"/>
      <c r="C5" s="16" t="s">
        <v>247</v>
      </c>
      <c r="D5" s="17" t="n">
        <v>46042</v>
      </c>
      <c r="E5" s="18" t="s">
        <v>89</v>
      </c>
      <c r="F5" s="18" t="s">
        <v>248</v>
      </c>
      <c r="G5" s="18" t="s">
        <v>249</v>
      </c>
      <c r="H5" s="18" t="s">
        <v>250</v>
      </c>
      <c r="I5" s="18"/>
      <c r="J5" s="18"/>
      <c r="K5" s="18" t="s">
        <v>251</v>
      </c>
      <c r="L5" s="18" t="s">
        <v>252</v>
      </c>
      <c r="M5" s="18" t="s">
        <v>253</v>
      </c>
      <c r="N5" s="19" t="n">
        <v>5.2</v>
      </c>
      <c r="O5" s="18" t="s">
        <v>254</v>
      </c>
      <c r="P5" s="19" t="n">
        <v>1.01</v>
      </c>
      <c r="Q5" s="18" t="s">
        <v>255</v>
      </c>
      <c r="R5" s="18" t="s">
        <v>256</v>
      </c>
      <c r="S5" s="18" t="s">
        <v>257</v>
      </c>
      <c r="T5" s="18"/>
      <c r="U5" s="18"/>
      <c r="V5" s="18"/>
      <c r="W5" s="18"/>
      <c r="X5" s="18"/>
      <c r="Y5" s="18"/>
      <c r="Z5" s="18" t="s">
        <v>258</v>
      </c>
      <c r="AA5" s="18" t="s">
        <v>259</v>
      </c>
      <c r="AB5" s="18" t="s">
        <v>260</v>
      </c>
      <c r="AC5" s="18" t="s">
        <v>261</v>
      </c>
      <c r="AD5" s="18" t="s">
        <v>237</v>
      </c>
      <c r="AE5" s="19" t="n">
        <v>3500</v>
      </c>
      <c r="AF5" s="20"/>
      <c r="AG5" s="21" t="n">
        <f aca="false">IF($AE5="","",$AE5*IF($AD5="GBP",1,IF($AF5&lt;&gt;"",$AF5,IFERROR(INDEX(SETTINGS!$W$29:$W$36,MATCH($AD5,SETTINGS!$V$29:$V$36,0)),1))))</f>
        <v>3500</v>
      </c>
      <c r="AH5" s="22" t="n">
        <v>50</v>
      </c>
      <c r="AI5" s="21" t="n">
        <f aca="false">IF(N($AG5)+N($AH5)=0,"",N($AG5)+N($AH5))</f>
        <v>3550</v>
      </c>
      <c r="AJ5" s="18" t="s">
        <v>100</v>
      </c>
      <c r="AK5" s="18" t="s">
        <v>238</v>
      </c>
      <c r="AL5" s="18" t="s">
        <v>262</v>
      </c>
      <c r="AM5" s="22" t="n">
        <v>5500</v>
      </c>
      <c r="AN5" s="22" t="n">
        <v>4800</v>
      </c>
      <c r="AO5" s="22" t="n">
        <v>5500</v>
      </c>
      <c r="AP5" s="21" t="n">
        <f aca="false">IF(OR($AM5="",$AI5=""),"",$AM5-$AI5)</f>
        <v>1950</v>
      </c>
      <c r="AQ5" s="23" t="n">
        <f aca="false">IF(OR($AM5="",$AM5=0,$AP5=""),"",$AP5/$AM5)</f>
        <v>0.354545454545455</v>
      </c>
      <c r="AR5" s="18" t="s">
        <v>263</v>
      </c>
      <c r="AS5" s="18" t="s">
        <v>264</v>
      </c>
      <c r="AT5" s="17"/>
      <c r="AU5" s="22"/>
      <c r="AV5" s="21" t="str">
        <f aca="false">IF(OR($AU5="",$AI5=""),"",$AU5-$AI5)</f>
        <v/>
      </c>
      <c r="AW5" s="23" t="str">
        <f aca="false">IF(OR($AU5="",$AU5=0,$AV5=""),"",$AV5/$AU5)</f>
        <v/>
      </c>
      <c r="AX5" s="18"/>
      <c r="AY5" s="18"/>
      <c r="AZ5" s="18"/>
      <c r="BA5" s="18" t="s">
        <v>265</v>
      </c>
      <c r="BB5" s="18" t="s">
        <v>245</v>
      </c>
    </row>
    <row r="6" customFormat="false" ht="54" hidden="false" customHeight="true" outlineLevel="0" collapsed="false">
      <c r="A6" s="16" t="s">
        <v>266</v>
      </c>
      <c r="B6" s="16"/>
      <c r="C6" s="16" t="s">
        <v>267</v>
      </c>
      <c r="D6" s="17" t="n">
        <v>46047</v>
      </c>
      <c r="E6" s="18" t="s">
        <v>61</v>
      </c>
      <c r="F6" s="18" t="s">
        <v>224</v>
      </c>
      <c r="G6" s="18" t="s">
        <v>268</v>
      </c>
      <c r="H6" s="18" t="s">
        <v>269</v>
      </c>
      <c r="I6" s="18" t="s">
        <v>270</v>
      </c>
      <c r="J6" s="18" t="s">
        <v>271</v>
      </c>
      <c r="K6" s="18" t="s">
        <v>272</v>
      </c>
      <c r="L6" s="18"/>
      <c r="M6" s="18"/>
      <c r="N6" s="19"/>
      <c r="O6" s="18"/>
      <c r="P6" s="19"/>
      <c r="Q6" s="18"/>
      <c r="R6" s="18"/>
      <c r="S6" s="18"/>
      <c r="T6" s="18" t="s">
        <v>273</v>
      </c>
      <c r="U6" s="18" t="s">
        <v>274</v>
      </c>
      <c r="V6" s="18" t="n">
        <v>2023</v>
      </c>
      <c r="W6" s="18" t="s">
        <v>232</v>
      </c>
      <c r="X6" s="18" t="s">
        <v>275</v>
      </c>
      <c r="Y6" s="18" t="s">
        <v>275</v>
      </c>
      <c r="Z6" s="18" t="s">
        <v>276</v>
      </c>
      <c r="AA6" s="18" t="s">
        <v>277</v>
      </c>
      <c r="AB6" s="18" t="s">
        <v>278</v>
      </c>
      <c r="AC6" s="18" t="s">
        <v>279</v>
      </c>
      <c r="AD6" s="18" t="s">
        <v>280</v>
      </c>
      <c r="AE6" s="19" t="n">
        <v>4000</v>
      </c>
      <c r="AF6" s="20" t="n">
        <v>0.79</v>
      </c>
      <c r="AG6" s="21" t="n">
        <f aca="false">IF($AE6="","",$AE6*IF($AD6="GBP",1,IF($AF6&lt;&gt;"",$AF6,IFERROR(INDEX(SETTINGS!$W$29:$W$36,MATCH($AD6,SETTINGS!$V$29:$V$36,0)),1))))</f>
        <v>3160</v>
      </c>
      <c r="AH6" s="22" t="n">
        <v>40</v>
      </c>
      <c r="AI6" s="21" t="n">
        <f aca="false">IF(N($AG6)+N($AH6)=0,"",N($AG6)+N($AH6))</f>
        <v>3200</v>
      </c>
      <c r="AJ6" s="18" t="s">
        <v>281</v>
      </c>
      <c r="AK6" s="18" t="s">
        <v>282</v>
      </c>
      <c r="AL6" s="18" t="s">
        <v>283</v>
      </c>
      <c r="AM6" s="22" t="n">
        <v>4500</v>
      </c>
      <c r="AN6" s="22" t="n">
        <v>4000</v>
      </c>
      <c r="AO6" s="22" t="n">
        <v>4500</v>
      </c>
      <c r="AP6" s="21" t="n">
        <f aca="false">IF(OR($AM6="",$AI6=""),"",$AM6-$AI6)</f>
        <v>1300</v>
      </c>
      <c r="AQ6" s="23" t="n">
        <f aca="false">IF(OR($AM6="",$AM6=0,$AP6=""),"",$AP6/$AM6)</f>
        <v>0.288888888888889</v>
      </c>
      <c r="AR6" s="18" t="s">
        <v>263</v>
      </c>
      <c r="AS6" s="18" t="s">
        <v>264</v>
      </c>
      <c r="AT6" s="17"/>
      <c r="AU6" s="22"/>
      <c r="AV6" s="21" t="str">
        <f aca="false">IF(OR($AU6="",$AI6=""),"",$AU6-$AI6)</f>
        <v/>
      </c>
      <c r="AW6" s="23" t="str">
        <f aca="false">IF(OR($AU6="",$AU6=0,$AV6=""),"",$AV6/$AU6)</f>
        <v/>
      </c>
      <c r="AX6" s="18"/>
      <c r="AY6" s="18"/>
      <c r="AZ6" s="18"/>
      <c r="BA6" s="18" t="s">
        <v>284</v>
      </c>
      <c r="BB6" s="18" t="s">
        <v>245</v>
      </c>
    </row>
    <row r="7" customFormat="false" ht="54" hidden="false" customHeight="true" outlineLevel="0" collapsed="false">
      <c r="A7" s="16" t="s">
        <v>285</v>
      </c>
      <c r="B7" s="16"/>
      <c r="C7" s="16" t="s">
        <v>286</v>
      </c>
      <c r="D7" s="17" t="n">
        <v>46054</v>
      </c>
      <c r="E7" s="18" t="s">
        <v>86</v>
      </c>
      <c r="F7" s="18" t="s">
        <v>287</v>
      </c>
      <c r="G7" s="18"/>
      <c r="H7" s="18" t="s">
        <v>288</v>
      </c>
      <c r="I7" s="18"/>
      <c r="J7" s="18"/>
      <c r="K7" s="18" t="s">
        <v>289</v>
      </c>
      <c r="L7" s="18" t="s">
        <v>86</v>
      </c>
      <c r="M7" s="18" t="s">
        <v>290</v>
      </c>
      <c r="N7" s="19" t="n">
        <v>22.5</v>
      </c>
      <c r="O7" s="18"/>
      <c r="P7" s="19"/>
      <c r="Q7" s="18"/>
      <c r="R7" s="18"/>
      <c r="S7" s="18"/>
      <c r="T7" s="18"/>
      <c r="U7" s="18"/>
      <c r="V7" s="18"/>
      <c r="W7" s="18"/>
      <c r="X7" s="18"/>
      <c r="Y7" s="18"/>
      <c r="Z7" s="18" t="s">
        <v>258</v>
      </c>
      <c r="AA7" s="18" t="s">
        <v>291</v>
      </c>
      <c r="AB7" s="18" t="s">
        <v>292</v>
      </c>
      <c r="AC7" s="18" t="s">
        <v>293</v>
      </c>
      <c r="AD7" s="18" t="s">
        <v>237</v>
      </c>
      <c r="AE7" s="19" t="n">
        <v>1500</v>
      </c>
      <c r="AF7" s="20"/>
      <c r="AG7" s="21" t="n">
        <f aca="false">IF($AE7="","",$AE7*IF($AD7="GBP",1,IF($AF7&lt;&gt;"",$AF7,IFERROR(INDEX(SETTINGS!$W$29:$W$36,MATCH($AD7,SETTINGS!$V$29:$V$36,0)),1))))</f>
        <v>1500</v>
      </c>
      <c r="AH7" s="22" t="n">
        <v>0</v>
      </c>
      <c r="AI7" s="21" t="n">
        <f aca="false">IF(N($AG7)+N($AH7)=0,"",N($AG7)+N($AH7))</f>
        <v>1500</v>
      </c>
      <c r="AJ7" s="18" t="s">
        <v>281</v>
      </c>
      <c r="AK7" s="18" t="s">
        <v>282</v>
      </c>
      <c r="AL7" s="18" t="s">
        <v>294</v>
      </c>
      <c r="AM7" s="22" t="n">
        <v>2200</v>
      </c>
      <c r="AN7" s="22" t="n">
        <v>1900</v>
      </c>
      <c r="AO7" s="22" t="n">
        <v>2200</v>
      </c>
      <c r="AP7" s="21" t="n">
        <f aca="false">IF(OR($AM7="",$AI7=""),"",$AM7-$AI7)</f>
        <v>700</v>
      </c>
      <c r="AQ7" s="23" t="n">
        <f aca="false">IF(OR($AM7="",$AM7=0,$AP7=""),"",$AP7/$AM7)</f>
        <v>0.318181818181818</v>
      </c>
      <c r="AR7" s="18" t="s">
        <v>240</v>
      </c>
      <c r="AS7" s="18" t="s">
        <v>264</v>
      </c>
      <c r="AT7" s="17"/>
      <c r="AU7" s="22"/>
      <c r="AV7" s="21" t="str">
        <f aca="false">IF(OR($AU7="",$AI7=""),"",$AU7-$AI7)</f>
        <v/>
      </c>
      <c r="AW7" s="23" t="str">
        <f aca="false">IF(OR($AU7="",$AU7=0,$AV7=""),"",$AV7/$AU7)</f>
        <v/>
      </c>
      <c r="AX7" s="18"/>
      <c r="AY7" s="18"/>
      <c r="AZ7" s="18"/>
      <c r="BA7" s="18" t="s">
        <v>295</v>
      </c>
      <c r="BB7" s="18" t="s">
        <v>245</v>
      </c>
    </row>
    <row r="8" customFormat="false" ht="54" hidden="false" customHeight="true" outlineLevel="0" collapsed="false">
      <c r="A8" s="16" t="s">
        <v>296</v>
      </c>
      <c r="B8" s="16"/>
      <c r="C8" s="16" t="s">
        <v>297</v>
      </c>
      <c r="D8" s="17" t="n">
        <v>46058</v>
      </c>
      <c r="E8" s="18" t="s">
        <v>61</v>
      </c>
      <c r="F8" s="18" t="s">
        <v>224</v>
      </c>
      <c r="G8" s="18" t="s">
        <v>298</v>
      </c>
      <c r="H8" s="18" t="s">
        <v>299</v>
      </c>
      <c r="I8" s="18" t="s">
        <v>300</v>
      </c>
      <c r="J8" s="18" t="s">
        <v>301</v>
      </c>
      <c r="K8" s="18" t="s">
        <v>302</v>
      </c>
      <c r="L8" s="18"/>
      <c r="M8" s="18"/>
      <c r="N8" s="19"/>
      <c r="O8" s="18"/>
      <c r="P8" s="19"/>
      <c r="Q8" s="18"/>
      <c r="R8" s="18"/>
      <c r="S8" s="18"/>
      <c r="T8" s="18" t="s">
        <v>303</v>
      </c>
      <c r="U8" s="18" t="s">
        <v>231</v>
      </c>
      <c r="V8" s="18" t="n">
        <v>2021</v>
      </c>
      <c r="W8" s="18" t="s">
        <v>232</v>
      </c>
      <c r="X8" s="18" t="s">
        <v>232</v>
      </c>
      <c r="Y8" s="18" t="s">
        <v>232</v>
      </c>
      <c r="Z8" s="18" t="s">
        <v>233</v>
      </c>
      <c r="AA8" s="18" t="s">
        <v>304</v>
      </c>
      <c r="AB8" s="18" t="s">
        <v>304</v>
      </c>
      <c r="AC8" s="18" t="s">
        <v>305</v>
      </c>
      <c r="AD8" s="18" t="s">
        <v>306</v>
      </c>
      <c r="AE8" s="19" t="n">
        <v>22000</v>
      </c>
      <c r="AF8" s="20" t="n">
        <v>0.215</v>
      </c>
      <c r="AG8" s="21" t="n">
        <f aca="false">IF($AE8="","",$AE8*IF($AD8="GBP",1,IF($AF8&lt;&gt;"",$AF8,IFERROR(INDEX(SETTINGS!$W$29:$W$36,MATCH($AD8,SETTINGS!$V$29:$V$36,0)),1))))</f>
        <v>4730</v>
      </c>
      <c r="AH8" s="22" t="n">
        <v>60</v>
      </c>
      <c r="AI8" s="21" t="n">
        <f aca="false">IF(N($AG8)+N($AH8)=0,"",N($AG8)+N($AH8))</f>
        <v>4790</v>
      </c>
      <c r="AJ8" s="18" t="s">
        <v>101</v>
      </c>
      <c r="AK8" s="18" t="s">
        <v>238</v>
      </c>
      <c r="AL8" s="18" t="s">
        <v>307</v>
      </c>
      <c r="AM8" s="22" t="n">
        <v>6500</v>
      </c>
      <c r="AN8" s="22" t="n">
        <v>5900</v>
      </c>
      <c r="AO8" s="22" t="n">
        <v>6500</v>
      </c>
      <c r="AP8" s="21" t="n">
        <f aca="false">IF(OR($AM8="",$AI8=""),"",$AM8-$AI8)</f>
        <v>1710</v>
      </c>
      <c r="AQ8" s="23" t="n">
        <f aca="false">IF(OR($AM8="",$AM8=0,$AP8=""),"",$AP8/$AM8)</f>
        <v>0.263076923076923</v>
      </c>
      <c r="AR8" s="18" t="s">
        <v>101</v>
      </c>
      <c r="AS8" s="18" t="s">
        <v>308</v>
      </c>
      <c r="AT8" s="17"/>
      <c r="AU8" s="22"/>
      <c r="AV8" s="21" t="str">
        <f aca="false">IF(OR($AU8="",$AI8=""),"",$AU8-$AI8)</f>
        <v/>
      </c>
      <c r="AW8" s="23" t="str">
        <f aca="false">IF(OR($AU8="",$AU8=0,$AV8=""),"",$AV8/$AU8)</f>
        <v/>
      </c>
      <c r="AX8" s="18"/>
      <c r="AY8" s="18"/>
      <c r="AZ8" s="18"/>
      <c r="BA8" s="18"/>
      <c r="BB8" s="18" t="s">
        <v>245</v>
      </c>
    </row>
    <row r="9" customFormat="false" ht="54" hidden="false" customHeight="true" outlineLevel="0" collapsed="false">
      <c r="A9" s="16" t="s">
        <v>309</v>
      </c>
      <c r="B9" s="16"/>
      <c r="C9" s="16" t="s">
        <v>310</v>
      </c>
      <c r="D9" s="17" t="n">
        <v>46063</v>
      </c>
      <c r="E9" s="18" t="s">
        <v>69</v>
      </c>
      <c r="F9" s="18" t="s">
        <v>311</v>
      </c>
      <c r="G9" s="18"/>
      <c r="H9" s="18" t="s">
        <v>312</v>
      </c>
      <c r="I9" s="18"/>
      <c r="J9" s="18"/>
      <c r="K9" s="18" t="s">
        <v>313</v>
      </c>
      <c r="L9" s="18" t="s">
        <v>86</v>
      </c>
      <c r="M9" s="18" t="s">
        <v>314</v>
      </c>
      <c r="N9" s="19" t="n">
        <v>18</v>
      </c>
      <c r="O9" s="18" t="s">
        <v>315</v>
      </c>
      <c r="P9" s="19"/>
      <c r="Q9" s="18"/>
      <c r="R9" s="18"/>
      <c r="S9" s="18"/>
      <c r="T9" s="18"/>
      <c r="U9" s="18"/>
      <c r="V9" s="18"/>
      <c r="W9" s="18"/>
      <c r="X9" s="18"/>
      <c r="Y9" s="18"/>
      <c r="Z9" s="18" t="s">
        <v>258</v>
      </c>
      <c r="AA9" s="18" t="s">
        <v>291</v>
      </c>
      <c r="AB9" s="18" t="s">
        <v>292</v>
      </c>
      <c r="AC9" s="18" t="s">
        <v>316</v>
      </c>
      <c r="AD9" s="18" t="s">
        <v>237</v>
      </c>
      <c r="AE9" s="19" t="n">
        <v>1650</v>
      </c>
      <c r="AF9" s="20"/>
      <c r="AG9" s="21" t="n">
        <f aca="false">IF($AE9="","",$AE9*IF($AD9="GBP",1,IF($AF9&lt;&gt;"",$AF9,IFERROR(INDEX(SETTINGS!$W$29:$W$36,MATCH($AD9,SETTINGS!$V$29:$V$36,0)),1))))</f>
        <v>1650</v>
      </c>
      <c r="AH9" s="22" t="n">
        <v>0</v>
      </c>
      <c r="AI9" s="21" t="n">
        <f aca="false">IF(N($AG9)+N($AH9)=0,"",N($AG9)+N($AH9))</f>
        <v>1650</v>
      </c>
      <c r="AJ9" s="18" t="s">
        <v>281</v>
      </c>
      <c r="AK9" s="18" t="s">
        <v>282</v>
      </c>
      <c r="AL9" s="18" t="s">
        <v>317</v>
      </c>
      <c r="AM9" s="22" t="n">
        <v>2400</v>
      </c>
      <c r="AN9" s="22" t="n">
        <v>2050</v>
      </c>
      <c r="AO9" s="22" t="n">
        <v>2400</v>
      </c>
      <c r="AP9" s="21" t="n">
        <f aca="false">IF(OR($AM9="",$AI9=""),"",$AM9-$AI9)</f>
        <v>750</v>
      </c>
      <c r="AQ9" s="23" t="n">
        <f aca="false">IF(OR($AM9="",$AM9=0,$AP9=""),"",$AP9/$AM9)</f>
        <v>0.3125</v>
      </c>
      <c r="AR9" s="18" t="s">
        <v>240</v>
      </c>
      <c r="AS9" s="18" t="s">
        <v>264</v>
      </c>
      <c r="AT9" s="17"/>
      <c r="AU9" s="22"/>
      <c r="AV9" s="21" t="str">
        <f aca="false">IF(OR($AU9="",$AI9=""),"",$AU9-$AI9)</f>
        <v/>
      </c>
      <c r="AW9" s="23" t="str">
        <f aca="false">IF(OR($AU9="",$AU9=0,$AV9=""),"",$AV9/$AU9)</f>
        <v/>
      </c>
      <c r="AX9" s="18"/>
      <c r="AY9" s="18"/>
      <c r="AZ9" s="18"/>
      <c r="BA9" s="18" t="s">
        <v>318</v>
      </c>
      <c r="BB9" s="18" t="s">
        <v>319</v>
      </c>
    </row>
    <row r="10" customFormat="false" ht="30" hidden="false" customHeight="true" outlineLevel="0" collapsed="false">
      <c r="A10" s="16"/>
      <c r="B10" s="16"/>
      <c r="C10" s="16"/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19"/>
      <c r="O10" s="18"/>
      <c r="P10" s="19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9"/>
      <c r="AF10" s="20"/>
      <c r="AG10" s="21" t="str">
        <f aca="false">IF($AE10="","",$AE10*IF($AD10="GBP",1,IF($AF10&lt;&gt;"",$AF10,IFERROR(INDEX(SETTINGS!$W$29:$W$36,MATCH($AD10,SETTINGS!$V$29:$V$36,0)),1))))</f>
        <v/>
      </c>
      <c r="AH10" s="22"/>
      <c r="AI10" s="21" t="str">
        <f aca="false">IF(N($AG10)+N($AH10)=0,"",N($AG10)+N($AH10))</f>
        <v/>
      </c>
      <c r="AJ10" s="18"/>
      <c r="AK10" s="18"/>
      <c r="AL10" s="18"/>
      <c r="AM10" s="22"/>
      <c r="AN10" s="22"/>
      <c r="AO10" s="22"/>
      <c r="AP10" s="21" t="str">
        <f aca="false">IF(OR($AM10="",$AI10=""),"",$AM10-$AI10)</f>
        <v/>
      </c>
      <c r="AQ10" s="23" t="str">
        <f aca="false">IF(OR($AM10="",$AM10=0,$AP10=""),"",$AP10/$AM10)</f>
        <v/>
      </c>
      <c r="AR10" s="18"/>
      <c r="AS10" s="18"/>
      <c r="AT10" s="17"/>
      <c r="AU10" s="22"/>
      <c r="AV10" s="21" t="str">
        <f aca="false">IF(OR($AU10="",$AI10=""),"",$AU10-$AI10)</f>
        <v/>
      </c>
      <c r="AW10" s="23" t="str">
        <f aca="false">IF(OR($AU10="",$AU10=0,$AV10=""),"",$AV10/$AU10)</f>
        <v/>
      </c>
      <c r="AX10" s="18"/>
      <c r="AY10" s="18"/>
      <c r="AZ10" s="18"/>
      <c r="BA10" s="18"/>
      <c r="BB10" s="18"/>
    </row>
    <row r="11" customFormat="false" ht="30" hidden="false" customHeight="true" outlineLevel="0" collapsed="false">
      <c r="A11" s="16"/>
      <c r="B11" s="16"/>
      <c r="C11" s="16"/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9"/>
      <c r="O11" s="18"/>
      <c r="P11" s="19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9"/>
      <c r="AF11" s="20"/>
      <c r="AG11" s="21" t="str">
        <f aca="false">IF($AE11="","",$AE11*IF($AD11="GBP",1,IF($AF11&lt;&gt;"",$AF11,IFERROR(INDEX(SETTINGS!$W$29:$W$36,MATCH($AD11,SETTINGS!$V$29:$V$36,0)),1))))</f>
        <v/>
      </c>
      <c r="AH11" s="22"/>
      <c r="AI11" s="21" t="str">
        <f aca="false">IF(N($AG11)+N($AH11)=0,"",N($AG11)+N($AH11))</f>
        <v/>
      </c>
      <c r="AJ11" s="18"/>
      <c r="AK11" s="18"/>
      <c r="AL11" s="18"/>
      <c r="AM11" s="22"/>
      <c r="AN11" s="22"/>
      <c r="AO11" s="22"/>
      <c r="AP11" s="21" t="str">
        <f aca="false">IF(OR($AM11="",$AI11=""),"",$AM11-$AI11)</f>
        <v/>
      </c>
      <c r="AQ11" s="23" t="str">
        <f aca="false">IF(OR($AM11="",$AM11=0,$AP11=""),"",$AP11/$AM11)</f>
        <v/>
      </c>
      <c r="AR11" s="18"/>
      <c r="AS11" s="18"/>
      <c r="AT11" s="17"/>
      <c r="AU11" s="22"/>
      <c r="AV11" s="21" t="str">
        <f aca="false">IF(OR($AU11="",$AI11=""),"",$AU11-$AI11)</f>
        <v/>
      </c>
      <c r="AW11" s="23" t="str">
        <f aca="false">IF(OR($AU11="",$AU11=0,$AV11=""),"",$AV11/$AU11)</f>
        <v/>
      </c>
      <c r="AX11" s="18"/>
      <c r="AY11" s="18"/>
      <c r="AZ11" s="18"/>
      <c r="BA11" s="18"/>
      <c r="BB11" s="18"/>
    </row>
    <row r="12" customFormat="false" ht="30" hidden="false" customHeight="true" outlineLevel="0" collapsed="false">
      <c r="A12" s="16"/>
      <c r="B12" s="16"/>
      <c r="C12" s="16"/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19"/>
      <c r="O12" s="18"/>
      <c r="P12" s="19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9"/>
      <c r="AF12" s="20"/>
      <c r="AG12" s="21" t="str">
        <f aca="false">IF($AE12="","",$AE12*IF($AD12="GBP",1,IF($AF12&lt;&gt;"",$AF12,IFERROR(INDEX(SETTINGS!$W$29:$W$36,MATCH($AD12,SETTINGS!$V$29:$V$36,0)),1))))</f>
        <v/>
      </c>
      <c r="AH12" s="22"/>
      <c r="AI12" s="21" t="str">
        <f aca="false">IF(N($AG12)+N($AH12)=0,"",N($AG12)+N($AH12))</f>
        <v/>
      </c>
      <c r="AJ12" s="18"/>
      <c r="AK12" s="18"/>
      <c r="AL12" s="18"/>
      <c r="AM12" s="22"/>
      <c r="AN12" s="22"/>
      <c r="AO12" s="22"/>
      <c r="AP12" s="21" t="str">
        <f aca="false">IF(OR($AM12="",$AI12=""),"",$AM12-$AI12)</f>
        <v/>
      </c>
      <c r="AQ12" s="23" t="str">
        <f aca="false">IF(OR($AM12="",$AM12=0,$AP12=""),"",$AP12/$AM12)</f>
        <v/>
      </c>
      <c r="AR12" s="18"/>
      <c r="AS12" s="18"/>
      <c r="AT12" s="17"/>
      <c r="AU12" s="22"/>
      <c r="AV12" s="21" t="str">
        <f aca="false">IF(OR($AU12="",$AI12=""),"",$AU12-$AI12)</f>
        <v/>
      </c>
      <c r="AW12" s="23" t="str">
        <f aca="false">IF(OR($AU12="",$AU12=0,$AV12=""),"",$AV12/$AU12)</f>
        <v/>
      </c>
      <c r="AX12" s="18"/>
      <c r="AY12" s="18"/>
      <c r="AZ12" s="18"/>
      <c r="BA12" s="18"/>
      <c r="BB12" s="18"/>
    </row>
    <row r="13" customFormat="false" ht="30" hidden="false" customHeight="true" outlineLevel="0" collapsed="false">
      <c r="A13" s="16"/>
      <c r="B13" s="16"/>
      <c r="C13" s="16"/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9"/>
      <c r="O13" s="18"/>
      <c r="P13" s="19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9"/>
      <c r="AF13" s="20"/>
      <c r="AG13" s="21" t="str">
        <f aca="false">IF($AE13="","",$AE13*IF($AD13="GBP",1,IF($AF13&lt;&gt;"",$AF13,IFERROR(INDEX(SETTINGS!$W$29:$W$36,MATCH($AD13,SETTINGS!$V$29:$V$36,0)),1))))</f>
        <v/>
      </c>
      <c r="AH13" s="22"/>
      <c r="AI13" s="21" t="str">
        <f aca="false">IF(N($AG13)+N($AH13)=0,"",N($AG13)+N($AH13))</f>
        <v/>
      </c>
      <c r="AJ13" s="18"/>
      <c r="AK13" s="18"/>
      <c r="AL13" s="18"/>
      <c r="AM13" s="22"/>
      <c r="AN13" s="22"/>
      <c r="AO13" s="22"/>
      <c r="AP13" s="21" t="str">
        <f aca="false">IF(OR($AM13="",$AI13=""),"",$AM13-$AI13)</f>
        <v/>
      </c>
      <c r="AQ13" s="23" t="str">
        <f aca="false">IF(OR($AM13="",$AM13=0,$AP13=""),"",$AP13/$AM13)</f>
        <v/>
      </c>
      <c r="AR13" s="18"/>
      <c r="AS13" s="18"/>
      <c r="AT13" s="17"/>
      <c r="AU13" s="22"/>
      <c r="AV13" s="21" t="str">
        <f aca="false">IF(OR($AU13="",$AI13=""),"",$AU13-$AI13)</f>
        <v/>
      </c>
      <c r="AW13" s="23" t="str">
        <f aca="false">IF(OR($AU13="",$AU13=0,$AV13=""),"",$AV13/$AU13)</f>
        <v/>
      </c>
      <c r="AX13" s="18"/>
      <c r="AY13" s="18"/>
      <c r="AZ13" s="18"/>
      <c r="BA13" s="18"/>
      <c r="BB13" s="18"/>
    </row>
    <row r="14" customFormat="false" ht="30" hidden="false" customHeight="true" outlineLevel="0" collapsed="false">
      <c r="A14" s="16"/>
      <c r="B14" s="16"/>
      <c r="C14" s="16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9"/>
      <c r="O14" s="18"/>
      <c r="P14" s="19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9"/>
      <c r="AF14" s="20"/>
      <c r="AG14" s="21" t="str">
        <f aca="false">IF($AE14="","",$AE14*IF($AD14="GBP",1,IF($AF14&lt;&gt;"",$AF14,IFERROR(INDEX(SETTINGS!$W$29:$W$36,MATCH($AD14,SETTINGS!$V$29:$V$36,0)),1))))</f>
        <v/>
      </c>
      <c r="AH14" s="22"/>
      <c r="AI14" s="21" t="str">
        <f aca="false">IF(N($AG14)+N($AH14)=0,"",N($AG14)+N($AH14))</f>
        <v/>
      </c>
      <c r="AJ14" s="18"/>
      <c r="AK14" s="18"/>
      <c r="AL14" s="18"/>
      <c r="AM14" s="22"/>
      <c r="AN14" s="22"/>
      <c r="AO14" s="22"/>
      <c r="AP14" s="21" t="str">
        <f aca="false">IF(OR($AM14="",$AI14=""),"",$AM14-$AI14)</f>
        <v/>
      </c>
      <c r="AQ14" s="23" t="str">
        <f aca="false">IF(OR($AM14="",$AM14=0,$AP14=""),"",$AP14/$AM14)</f>
        <v/>
      </c>
      <c r="AR14" s="18"/>
      <c r="AS14" s="18"/>
      <c r="AT14" s="17"/>
      <c r="AU14" s="22"/>
      <c r="AV14" s="21" t="str">
        <f aca="false">IF(OR($AU14="",$AI14=""),"",$AU14-$AI14)</f>
        <v/>
      </c>
      <c r="AW14" s="23" t="str">
        <f aca="false">IF(OR($AU14="",$AU14=0,$AV14=""),"",$AV14/$AU14)</f>
        <v/>
      </c>
      <c r="AX14" s="18"/>
      <c r="AY14" s="18"/>
      <c r="AZ14" s="18"/>
      <c r="BA14" s="18"/>
      <c r="BB14" s="18"/>
    </row>
    <row r="15" customFormat="false" ht="30" hidden="false" customHeight="true" outlineLevel="0" collapsed="false">
      <c r="A15" s="16"/>
      <c r="B15" s="16"/>
      <c r="C15" s="16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9"/>
      <c r="O15" s="18"/>
      <c r="P15" s="19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9"/>
      <c r="AF15" s="20"/>
      <c r="AG15" s="21" t="str">
        <f aca="false">IF($AE15="","",$AE15*IF($AD15="GBP",1,IF($AF15&lt;&gt;"",$AF15,IFERROR(INDEX(SETTINGS!$W$29:$W$36,MATCH($AD15,SETTINGS!$V$29:$V$36,0)),1))))</f>
        <v/>
      </c>
      <c r="AH15" s="22"/>
      <c r="AI15" s="21" t="str">
        <f aca="false">IF(N($AG15)+N($AH15)=0,"",N($AG15)+N($AH15))</f>
        <v/>
      </c>
      <c r="AJ15" s="18"/>
      <c r="AK15" s="18"/>
      <c r="AL15" s="18"/>
      <c r="AM15" s="22"/>
      <c r="AN15" s="22"/>
      <c r="AO15" s="22"/>
      <c r="AP15" s="21" t="str">
        <f aca="false">IF(OR($AM15="",$AI15=""),"",$AM15-$AI15)</f>
        <v/>
      </c>
      <c r="AQ15" s="23" t="str">
        <f aca="false">IF(OR($AM15="",$AM15=0,$AP15=""),"",$AP15/$AM15)</f>
        <v/>
      </c>
      <c r="AR15" s="18"/>
      <c r="AS15" s="18"/>
      <c r="AT15" s="17"/>
      <c r="AU15" s="22"/>
      <c r="AV15" s="21" t="str">
        <f aca="false">IF(OR($AU15="",$AI15=""),"",$AU15-$AI15)</f>
        <v/>
      </c>
      <c r="AW15" s="23" t="str">
        <f aca="false">IF(OR($AU15="",$AU15=0,$AV15=""),"",$AV15/$AU15)</f>
        <v/>
      </c>
      <c r="AX15" s="18"/>
      <c r="AY15" s="18"/>
      <c r="AZ15" s="18"/>
      <c r="BA15" s="18"/>
      <c r="BB15" s="18"/>
    </row>
    <row r="16" customFormat="false" ht="30" hidden="false" customHeight="true" outlineLevel="0" collapsed="false">
      <c r="A16" s="16"/>
      <c r="B16" s="16"/>
      <c r="C16" s="16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9"/>
      <c r="O16" s="18"/>
      <c r="P16" s="19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9"/>
      <c r="AF16" s="20"/>
      <c r="AG16" s="21" t="str">
        <f aca="false">IF($AE16="","",$AE16*IF($AD16="GBP",1,IF($AF16&lt;&gt;"",$AF16,IFERROR(INDEX(SETTINGS!$W$29:$W$36,MATCH($AD16,SETTINGS!$V$29:$V$36,0)),1))))</f>
        <v/>
      </c>
      <c r="AH16" s="22"/>
      <c r="AI16" s="21" t="str">
        <f aca="false">IF(N($AG16)+N($AH16)=0,"",N($AG16)+N($AH16))</f>
        <v/>
      </c>
      <c r="AJ16" s="18"/>
      <c r="AK16" s="18"/>
      <c r="AL16" s="18"/>
      <c r="AM16" s="22"/>
      <c r="AN16" s="22"/>
      <c r="AO16" s="22"/>
      <c r="AP16" s="21" t="str">
        <f aca="false">IF(OR($AM16="",$AI16=""),"",$AM16-$AI16)</f>
        <v/>
      </c>
      <c r="AQ16" s="23" t="str">
        <f aca="false">IF(OR($AM16="",$AM16=0,$AP16=""),"",$AP16/$AM16)</f>
        <v/>
      </c>
      <c r="AR16" s="18"/>
      <c r="AS16" s="18"/>
      <c r="AT16" s="17"/>
      <c r="AU16" s="22"/>
      <c r="AV16" s="21" t="str">
        <f aca="false">IF(OR($AU16="",$AI16=""),"",$AU16-$AI16)</f>
        <v/>
      </c>
      <c r="AW16" s="23" t="str">
        <f aca="false">IF(OR($AU16="",$AU16=0,$AV16=""),"",$AV16/$AU16)</f>
        <v/>
      </c>
      <c r="AX16" s="18"/>
      <c r="AY16" s="18"/>
      <c r="AZ16" s="18"/>
      <c r="BA16" s="18"/>
      <c r="BB16" s="18"/>
    </row>
    <row r="17" customFormat="false" ht="30" hidden="false" customHeight="true" outlineLevel="0" collapsed="false">
      <c r="A17" s="16"/>
      <c r="B17" s="16"/>
      <c r="C17" s="16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9"/>
      <c r="O17" s="18"/>
      <c r="P17" s="19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9"/>
      <c r="AF17" s="20"/>
      <c r="AG17" s="21" t="str">
        <f aca="false">IF($AE17="","",$AE17*IF($AD17="GBP",1,IF($AF17&lt;&gt;"",$AF17,IFERROR(INDEX(SETTINGS!$W$29:$W$36,MATCH($AD17,SETTINGS!$V$29:$V$36,0)),1))))</f>
        <v/>
      </c>
      <c r="AH17" s="22"/>
      <c r="AI17" s="21" t="str">
        <f aca="false">IF(N($AG17)+N($AH17)=0,"",N($AG17)+N($AH17))</f>
        <v/>
      </c>
      <c r="AJ17" s="18"/>
      <c r="AK17" s="18"/>
      <c r="AL17" s="18"/>
      <c r="AM17" s="22"/>
      <c r="AN17" s="22"/>
      <c r="AO17" s="22"/>
      <c r="AP17" s="21" t="str">
        <f aca="false">IF(OR($AM17="",$AI17=""),"",$AM17-$AI17)</f>
        <v/>
      </c>
      <c r="AQ17" s="23" t="str">
        <f aca="false">IF(OR($AM17="",$AM17=0,$AP17=""),"",$AP17/$AM17)</f>
        <v/>
      </c>
      <c r="AR17" s="18"/>
      <c r="AS17" s="18"/>
      <c r="AT17" s="17"/>
      <c r="AU17" s="22"/>
      <c r="AV17" s="21" t="str">
        <f aca="false">IF(OR($AU17="",$AI17=""),"",$AU17-$AI17)</f>
        <v/>
      </c>
      <c r="AW17" s="23" t="str">
        <f aca="false">IF(OR($AU17="",$AU17=0,$AV17=""),"",$AV17/$AU17)</f>
        <v/>
      </c>
      <c r="AX17" s="18"/>
      <c r="AY17" s="18"/>
      <c r="AZ17" s="18"/>
      <c r="BA17" s="18"/>
      <c r="BB17" s="18"/>
    </row>
    <row r="18" customFormat="false" ht="30" hidden="false" customHeight="true" outlineLevel="0" collapsed="false">
      <c r="A18" s="16"/>
      <c r="B18" s="16"/>
      <c r="C18" s="16"/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9"/>
      <c r="O18" s="18"/>
      <c r="P18" s="19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9"/>
      <c r="AF18" s="20"/>
      <c r="AG18" s="21" t="str">
        <f aca="false">IF($AE18="","",$AE18*IF($AD18="GBP",1,IF($AF18&lt;&gt;"",$AF18,IFERROR(INDEX(SETTINGS!$W$29:$W$36,MATCH($AD18,SETTINGS!$V$29:$V$36,0)),1))))</f>
        <v/>
      </c>
      <c r="AH18" s="22"/>
      <c r="AI18" s="21" t="str">
        <f aca="false">IF(N($AG18)+N($AH18)=0,"",N($AG18)+N($AH18))</f>
        <v/>
      </c>
      <c r="AJ18" s="18"/>
      <c r="AK18" s="18"/>
      <c r="AL18" s="18"/>
      <c r="AM18" s="22"/>
      <c r="AN18" s="22"/>
      <c r="AO18" s="22"/>
      <c r="AP18" s="21" t="str">
        <f aca="false">IF(OR($AM18="",$AI18=""),"",$AM18-$AI18)</f>
        <v/>
      </c>
      <c r="AQ18" s="23" t="str">
        <f aca="false">IF(OR($AM18="",$AM18=0,$AP18=""),"",$AP18/$AM18)</f>
        <v/>
      </c>
      <c r="AR18" s="18"/>
      <c r="AS18" s="18"/>
      <c r="AT18" s="17"/>
      <c r="AU18" s="22"/>
      <c r="AV18" s="21" t="str">
        <f aca="false">IF(OR($AU18="",$AI18=""),"",$AU18-$AI18)</f>
        <v/>
      </c>
      <c r="AW18" s="23" t="str">
        <f aca="false">IF(OR($AU18="",$AU18=0,$AV18=""),"",$AV18/$AU18)</f>
        <v/>
      </c>
      <c r="AX18" s="18"/>
      <c r="AY18" s="18"/>
      <c r="AZ18" s="18"/>
      <c r="BA18" s="18"/>
      <c r="BB18" s="18"/>
    </row>
    <row r="19" customFormat="false" ht="30" hidden="false" customHeight="true" outlineLevel="0" collapsed="false">
      <c r="A19" s="16"/>
      <c r="B19" s="16"/>
      <c r="C19" s="16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9"/>
      <c r="O19" s="18"/>
      <c r="P19" s="19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9"/>
      <c r="AF19" s="20"/>
      <c r="AG19" s="21" t="str">
        <f aca="false">IF($AE19="","",$AE19*IF($AD19="GBP",1,IF($AF19&lt;&gt;"",$AF19,IFERROR(INDEX(SETTINGS!$W$29:$W$36,MATCH($AD19,SETTINGS!$V$29:$V$36,0)),1))))</f>
        <v/>
      </c>
      <c r="AH19" s="22"/>
      <c r="AI19" s="21" t="str">
        <f aca="false">IF(N($AG19)+N($AH19)=0,"",N($AG19)+N($AH19))</f>
        <v/>
      </c>
      <c r="AJ19" s="18"/>
      <c r="AK19" s="18"/>
      <c r="AL19" s="18"/>
      <c r="AM19" s="22"/>
      <c r="AN19" s="22"/>
      <c r="AO19" s="22"/>
      <c r="AP19" s="21" t="str">
        <f aca="false">IF(OR($AM19="",$AI19=""),"",$AM19-$AI19)</f>
        <v/>
      </c>
      <c r="AQ19" s="23" t="str">
        <f aca="false">IF(OR($AM19="",$AM19=0,$AP19=""),"",$AP19/$AM19)</f>
        <v/>
      </c>
      <c r="AR19" s="18"/>
      <c r="AS19" s="18"/>
      <c r="AT19" s="17"/>
      <c r="AU19" s="22"/>
      <c r="AV19" s="21" t="str">
        <f aca="false">IF(OR($AU19="",$AI19=""),"",$AU19-$AI19)</f>
        <v/>
      </c>
      <c r="AW19" s="23" t="str">
        <f aca="false">IF(OR($AU19="",$AU19=0,$AV19=""),"",$AV19/$AU19)</f>
        <v/>
      </c>
      <c r="AX19" s="18"/>
      <c r="AY19" s="18"/>
      <c r="AZ19" s="18"/>
      <c r="BA19" s="18"/>
      <c r="BB19" s="18"/>
    </row>
    <row r="20" customFormat="false" ht="30" hidden="false" customHeight="true" outlineLevel="0" collapsed="false">
      <c r="A20" s="16"/>
      <c r="B20" s="16"/>
      <c r="C20" s="16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9"/>
      <c r="O20" s="18"/>
      <c r="P20" s="19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9"/>
      <c r="AF20" s="20"/>
      <c r="AG20" s="21" t="str">
        <f aca="false">IF($AE20="","",$AE20*IF($AD20="GBP",1,IF($AF20&lt;&gt;"",$AF20,IFERROR(INDEX(SETTINGS!$W$29:$W$36,MATCH($AD20,SETTINGS!$V$29:$V$36,0)),1))))</f>
        <v/>
      </c>
      <c r="AH20" s="22"/>
      <c r="AI20" s="21" t="str">
        <f aca="false">IF(N($AG20)+N($AH20)=0,"",N($AG20)+N($AH20))</f>
        <v/>
      </c>
      <c r="AJ20" s="18"/>
      <c r="AK20" s="18"/>
      <c r="AL20" s="18"/>
      <c r="AM20" s="22"/>
      <c r="AN20" s="22"/>
      <c r="AO20" s="22"/>
      <c r="AP20" s="21" t="str">
        <f aca="false">IF(OR($AM20="",$AI20=""),"",$AM20-$AI20)</f>
        <v/>
      </c>
      <c r="AQ20" s="23" t="str">
        <f aca="false">IF(OR($AM20="",$AM20=0,$AP20=""),"",$AP20/$AM20)</f>
        <v/>
      </c>
      <c r="AR20" s="18"/>
      <c r="AS20" s="18"/>
      <c r="AT20" s="17"/>
      <c r="AU20" s="22"/>
      <c r="AV20" s="21" t="str">
        <f aca="false">IF(OR($AU20="",$AI20=""),"",$AU20-$AI20)</f>
        <v/>
      </c>
      <c r="AW20" s="23" t="str">
        <f aca="false">IF(OR($AU20="",$AU20=0,$AV20=""),"",$AV20/$AU20)</f>
        <v/>
      </c>
      <c r="AX20" s="18"/>
      <c r="AY20" s="18"/>
      <c r="AZ20" s="18"/>
      <c r="BA20" s="18"/>
      <c r="BB20" s="18"/>
    </row>
    <row r="21" customFormat="false" ht="30" hidden="false" customHeight="true" outlineLevel="0" collapsed="false">
      <c r="A21" s="16"/>
      <c r="B21" s="16"/>
      <c r="C21" s="16"/>
      <c r="D21" s="17"/>
      <c r="E21" s="18"/>
      <c r="F21" s="18"/>
      <c r="G21" s="18"/>
      <c r="H21" s="18"/>
      <c r="I21" s="18"/>
      <c r="J21" s="18"/>
      <c r="K21" s="18"/>
      <c r="L21" s="18"/>
      <c r="M21" s="18"/>
      <c r="N21" s="19"/>
      <c r="O21" s="18"/>
      <c r="P21" s="19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9"/>
      <c r="AF21" s="20"/>
      <c r="AG21" s="21" t="str">
        <f aca="false">IF($AE21="","",$AE21*IF($AD21="GBP",1,IF($AF21&lt;&gt;"",$AF21,IFERROR(INDEX(SETTINGS!$W$29:$W$36,MATCH($AD21,SETTINGS!$V$29:$V$36,0)),1))))</f>
        <v/>
      </c>
      <c r="AH21" s="22"/>
      <c r="AI21" s="21" t="str">
        <f aca="false">IF(N($AG21)+N($AH21)=0,"",N($AG21)+N($AH21))</f>
        <v/>
      </c>
      <c r="AJ21" s="18"/>
      <c r="AK21" s="18"/>
      <c r="AL21" s="18"/>
      <c r="AM21" s="22"/>
      <c r="AN21" s="22"/>
      <c r="AO21" s="22"/>
      <c r="AP21" s="21" t="str">
        <f aca="false">IF(OR($AM21="",$AI21=""),"",$AM21-$AI21)</f>
        <v/>
      </c>
      <c r="AQ21" s="23" t="str">
        <f aca="false">IF(OR($AM21="",$AM21=0,$AP21=""),"",$AP21/$AM21)</f>
        <v/>
      </c>
      <c r="AR21" s="18"/>
      <c r="AS21" s="18"/>
      <c r="AT21" s="17"/>
      <c r="AU21" s="22"/>
      <c r="AV21" s="21" t="str">
        <f aca="false">IF(OR($AU21="",$AI21=""),"",$AU21-$AI21)</f>
        <v/>
      </c>
      <c r="AW21" s="23" t="str">
        <f aca="false">IF(OR($AU21="",$AU21=0,$AV21=""),"",$AV21/$AU21)</f>
        <v/>
      </c>
      <c r="AX21" s="18"/>
      <c r="AY21" s="18"/>
      <c r="AZ21" s="18"/>
      <c r="BA21" s="18"/>
      <c r="BB21" s="18"/>
    </row>
    <row r="22" customFormat="false" ht="30" hidden="false" customHeight="true" outlineLevel="0" collapsed="false">
      <c r="A22" s="16"/>
      <c r="B22" s="16"/>
      <c r="C22" s="16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9"/>
      <c r="O22" s="18"/>
      <c r="P22" s="19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9"/>
      <c r="AF22" s="20"/>
      <c r="AG22" s="21" t="str">
        <f aca="false">IF($AE22="","",$AE22*IF($AD22="GBP",1,IF($AF22&lt;&gt;"",$AF22,IFERROR(INDEX(SETTINGS!$W$29:$W$36,MATCH($AD22,SETTINGS!$V$29:$V$36,0)),1))))</f>
        <v/>
      </c>
      <c r="AH22" s="22"/>
      <c r="AI22" s="21" t="str">
        <f aca="false">IF(N($AG22)+N($AH22)=0,"",N($AG22)+N($AH22))</f>
        <v/>
      </c>
      <c r="AJ22" s="18"/>
      <c r="AK22" s="18"/>
      <c r="AL22" s="18"/>
      <c r="AM22" s="22"/>
      <c r="AN22" s="22"/>
      <c r="AO22" s="22"/>
      <c r="AP22" s="21" t="str">
        <f aca="false">IF(OR($AM22="",$AI22=""),"",$AM22-$AI22)</f>
        <v/>
      </c>
      <c r="AQ22" s="23" t="str">
        <f aca="false">IF(OR($AM22="",$AM22=0,$AP22=""),"",$AP22/$AM22)</f>
        <v/>
      </c>
      <c r="AR22" s="18"/>
      <c r="AS22" s="18"/>
      <c r="AT22" s="17"/>
      <c r="AU22" s="22"/>
      <c r="AV22" s="21" t="str">
        <f aca="false">IF(OR($AU22="",$AI22=""),"",$AU22-$AI22)</f>
        <v/>
      </c>
      <c r="AW22" s="23" t="str">
        <f aca="false">IF(OR($AU22="",$AU22=0,$AV22=""),"",$AV22/$AU22)</f>
        <v/>
      </c>
      <c r="AX22" s="18"/>
      <c r="AY22" s="18"/>
      <c r="AZ22" s="18"/>
      <c r="BA22" s="18"/>
      <c r="BB22" s="18"/>
    </row>
    <row r="23" customFormat="false" ht="30" hidden="false" customHeight="true" outlineLevel="0" collapsed="false">
      <c r="A23" s="16"/>
      <c r="B23" s="16"/>
      <c r="C23" s="16"/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9"/>
      <c r="O23" s="18"/>
      <c r="P23" s="19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9"/>
      <c r="AF23" s="20"/>
      <c r="AG23" s="21" t="str">
        <f aca="false">IF($AE23="","",$AE23*IF($AD23="GBP",1,IF($AF23&lt;&gt;"",$AF23,IFERROR(INDEX(SETTINGS!$W$29:$W$36,MATCH($AD23,SETTINGS!$V$29:$V$36,0)),1))))</f>
        <v/>
      </c>
      <c r="AH23" s="22"/>
      <c r="AI23" s="21" t="str">
        <f aca="false">IF(N($AG23)+N($AH23)=0,"",N($AG23)+N($AH23))</f>
        <v/>
      </c>
      <c r="AJ23" s="18"/>
      <c r="AK23" s="18"/>
      <c r="AL23" s="18"/>
      <c r="AM23" s="22"/>
      <c r="AN23" s="22"/>
      <c r="AO23" s="22"/>
      <c r="AP23" s="21" t="str">
        <f aca="false">IF(OR($AM23="",$AI23=""),"",$AM23-$AI23)</f>
        <v/>
      </c>
      <c r="AQ23" s="23" t="str">
        <f aca="false">IF(OR($AM23="",$AM23=0,$AP23=""),"",$AP23/$AM23)</f>
        <v/>
      </c>
      <c r="AR23" s="18"/>
      <c r="AS23" s="18"/>
      <c r="AT23" s="17"/>
      <c r="AU23" s="22"/>
      <c r="AV23" s="21" t="str">
        <f aca="false">IF(OR($AU23="",$AI23=""),"",$AU23-$AI23)</f>
        <v/>
      </c>
      <c r="AW23" s="23" t="str">
        <f aca="false">IF(OR($AU23="",$AU23=0,$AV23=""),"",$AV23/$AU23)</f>
        <v/>
      </c>
      <c r="AX23" s="18"/>
      <c r="AY23" s="18"/>
      <c r="AZ23" s="18"/>
      <c r="BA23" s="18"/>
      <c r="BB23" s="18"/>
    </row>
    <row r="24" customFormat="false" ht="30" hidden="false" customHeight="true" outlineLevel="0" collapsed="false">
      <c r="A24" s="16"/>
      <c r="B24" s="16"/>
      <c r="C24" s="16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9"/>
      <c r="O24" s="18"/>
      <c r="P24" s="19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9"/>
      <c r="AF24" s="20"/>
      <c r="AG24" s="21" t="str">
        <f aca="false">IF($AE24="","",$AE24*IF($AD24="GBP",1,IF($AF24&lt;&gt;"",$AF24,IFERROR(INDEX(SETTINGS!$W$29:$W$36,MATCH($AD24,SETTINGS!$V$29:$V$36,0)),1))))</f>
        <v/>
      </c>
      <c r="AH24" s="22"/>
      <c r="AI24" s="21" t="str">
        <f aca="false">IF(N($AG24)+N($AH24)=0,"",N($AG24)+N($AH24))</f>
        <v/>
      </c>
      <c r="AJ24" s="18"/>
      <c r="AK24" s="18"/>
      <c r="AL24" s="18"/>
      <c r="AM24" s="22"/>
      <c r="AN24" s="22"/>
      <c r="AO24" s="22"/>
      <c r="AP24" s="21" t="str">
        <f aca="false">IF(OR($AM24="",$AI24=""),"",$AM24-$AI24)</f>
        <v/>
      </c>
      <c r="AQ24" s="23" t="str">
        <f aca="false">IF(OR($AM24="",$AM24=0,$AP24=""),"",$AP24/$AM24)</f>
        <v/>
      </c>
      <c r="AR24" s="18"/>
      <c r="AS24" s="18"/>
      <c r="AT24" s="17"/>
      <c r="AU24" s="22"/>
      <c r="AV24" s="21" t="str">
        <f aca="false">IF(OR($AU24="",$AI24=""),"",$AU24-$AI24)</f>
        <v/>
      </c>
      <c r="AW24" s="23" t="str">
        <f aca="false">IF(OR($AU24="",$AU24=0,$AV24=""),"",$AV24/$AU24)</f>
        <v/>
      </c>
      <c r="AX24" s="18"/>
      <c r="AY24" s="18"/>
      <c r="AZ24" s="18"/>
      <c r="BA24" s="18"/>
      <c r="BB24" s="18"/>
    </row>
    <row r="25" customFormat="false" ht="30" hidden="false" customHeight="true" outlineLevel="0" collapsed="false">
      <c r="A25" s="16"/>
      <c r="B25" s="16"/>
      <c r="C25" s="16"/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19"/>
      <c r="O25" s="18"/>
      <c r="P25" s="19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9"/>
      <c r="AF25" s="20"/>
      <c r="AG25" s="21" t="str">
        <f aca="false">IF($AE25="","",$AE25*IF($AD25="GBP",1,IF($AF25&lt;&gt;"",$AF25,IFERROR(INDEX(SETTINGS!$W$29:$W$36,MATCH($AD25,SETTINGS!$V$29:$V$36,0)),1))))</f>
        <v/>
      </c>
      <c r="AH25" s="22"/>
      <c r="AI25" s="21" t="str">
        <f aca="false">IF(N($AG25)+N($AH25)=0,"",N($AG25)+N($AH25))</f>
        <v/>
      </c>
      <c r="AJ25" s="18"/>
      <c r="AK25" s="18"/>
      <c r="AL25" s="18"/>
      <c r="AM25" s="22"/>
      <c r="AN25" s="22"/>
      <c r="AO25" s="22"/>
      <c r="AP25" s="21" t="str">
        <f aca="false">IF(OR($AM25="",$AI25=""),"",$AM25-$AI25)</f>
        <v/>
      </c>
      <c r="AQ25" s="23" t="str">
        <f aca="false">IF(OR($AM25="",$AM25=0,$AP25=""),"",$AP25/$AM25)</f>
        <v/>
      </c>
      <c r="AR25" s="18"/>
      <c r="AS25" s="18"/>
      <c r="AT25" s="17"/>
      <c r="AU25" s="22"/>
      <c r="AV25" s="21" t="str">
        <f aca="false">IF(OR($AU25="",$AI25=""),"",$AU25-$AI25)</f>
        <v/>
      </c>
      <c r="AW25" s="23" t="str">
        <f aca="false">IF(OR($AU25="",$AU25=0,$AV25=""),"",$AV25/$AU25)</f>
        <v/>
      </c>
      <c r="AX25" s="18"/>
      <c r="AY25" s="18"/>
      <c r="AZ25" s="18"/>
      <c r="BA25" s="18"/>
      <c r="BB25" s="18"/>
    </row>
    <row r="26" customFormat="false" ht="30" hidden="false" customHeight="true" outlineLevel="0" collapsed="false">
      <c r="A26" s="16"/>
      <c r="B26" s="16"/>
      <c r="C26" s="16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9"/>
      <c r="O26" s="18"/>
      <c r="P26" s="19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9"/>
      <c r="AF26" s="20"/>
      <c r="AG26" s="21" t="str">
        <f aca="false">IF($AE26="","",$AE26*IF($AD26="GBP",1,IF($AF26&lt;&gt;"",$AF26,IFERROR(INDEX(SETTINGS!$W$29:$W$36,MATCH($AD26,SETTINGS!$V$29:$V$36,0)),1))))</f>
        <v/>
      </c>
      <c r="AH26" s="22"/>
      <c r="AI26" s="21" t="str">
        <f aca="false">IF(N($AG26)+N($AH26)=0,"",N($AG26)+N($AH26))</f>
        <v/>
      </c>
      <c r="AJ26" s="18"/>
      <c r="AK26" s="18"/>
      <c r="AL26" s="18"/>
      <c r="AM26" s="22"/>
      <c r="AN26" s="22"/>
      <c r="AO26" s="22"/>
      <c r="AP26" s="21" t="str">
        <f aca="false">IF(OR($AM26="",$AI26=""),"",$AM26-$AI26)</f>
        <v/>
      </c>
      <c r="AQ26" s="23" t="str">
        <f aca="false">IF(OR($AM26="",$AM26=0,$AP26=""),"",$AP26/$AM26)</f>
        <v/>
      </c>
      <c r="AR26" s="18"/>
      <c r="AS26" s="18"/>
      <c r="AT26" s="17"/>
      <c r="AU26" s="22"/>
      <c r="AV26" s="21" t="str">
        <f aca="false">IF(OR($AU26="",$AI26=""),"",$AU26-$AI26)</f>
        <v/>
      </c>
      <c r="AW26" s="23" t="str">
        <f aca="false">IF(OR($AU26="",$AU26=0,$AV26=""),"",$AV26/$AU26)</f>
        <v/>
      </c>
      <c r="AX26" s="18"/>
      <c r="AY26" s="18"/>
      <c r="AZ26" s="18"/>
      <c r="BA26" s="18"/>
      <c r="BB26" s="18"/>
    </row>
    <row r="27" customFormat="false" ht="30" hidden="false" customHeight="true" outlineLevel="0" collapsed="false">
      <c r="A27" s="16"/>
      <c r="B27" s="16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9"/>
      <c r="O27" s="18"/>
      <c r="P27" s="19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9"/>
      <c r="AF27" s="20"/>
      <c r="AG27" s="21" t="str">
        <f aca="false">IF($AE27="","",$AE27*IF($AD27="GBP",1,IF($AF27&lt;&gt;"",$AF27,IFERROR(INDEX(SETTINGS!$W$29:$W$36,MATCH($AD27,SETTINGS!$V$29:$V$36,0)),1))))</f>
        <v/>
      </c>
      <c r="AH27" s="22"/>
      <c r="AI27" s="21" t="str">
        <f aca="false">IF(N($AG27)+N($AH27)=0,"",N($AG27)+N($AH27))</f>
        <v/>
      </c>
      <c r="AJ27" s="18"/>
      <c r="AK27" s="18"/>
      <c r="AL27" s="18"/>
      <c r="AM27" s="22"/>
      <c r="AN27" s="22"/>
      <c r="AO27" s="22"/>
      <c r="AP27" s="21" t="str">
        <f aca="false">IF(OR($AM27="",$AI27=""),"",$AM27-$AI27)</f>
        <v/>
      </c>
      <c r="AQ27" s="23" t="str">
        <f aca="false">IF(OR($AM27="",$AM27=0,$AP27=""),"",$AP27/$AM27)</f>
        <v/>
      </c>
      <c r="AR27" s="18"/>
      <c r="AS27" s="18"/>
      <c r="AT27" s="17"/>
      <c r="AU27" s="22"/>
      <c r="AV27" s="21" t="str">
        <f aca="false">IF(OR($AU27="",$AI27=""),"",$AU27-$AI27)</f>
        <v/>
      </c>
      <c r="AW27" s="23" t="str">
        <f aca="false">IF(OR($AU27="",$AU27=0,$AV27=""),"",$AV27/$AU27)</f>
        <v/>
      </c>
      <c r="AX27" s="18"/>
      <c r="AY27" s="18"/>
      <c r="AZ27" s="18"/>
      <c r="BA27" s="18"/>
      <c r="BB27" s="18"/>
    </row>
    <row r="28" customFormat="false" ht="30" hidden="false" customHeight="true" outlineLevel="0" collapsed="false">
      <c r="A28" s="16"/>
      <c r="B28" s="16"/>
      <c r="C28" s="16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9"/>
      <c r="O28" s="18"/>
      <c r="P28" s="19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9"/>
      <c r="AF28" s="20"/>
      <c r="AG28" s="21" t="str">
        <f aca="false">IF($AE28="","",$AE28*IF($AD28="GBP",1,IF($AF28&lt;&gt;"",$AF28,IFERROR(INDEX(SETTINGS!$W$29:$W$36,MATCH($AD28,SETTINGS!$V$29:$V$36,0)),1))))</f>
        <v/>
      </c>
      <c r="AH28" s="22"/>
      <c r="AI28" s="21" t="str">
        <f aca="false">IF(N($AG28)+N($AH28)=0,"",N($AG28)+N($AH28))</f>
        <v/>
      </c>
      <c r="AJ28" s="18"/>
      <c r="AK28" s="18"/>
      <c r="AL28" s="18"/>
      <c r="AM28" s="22"/>
      <c r="AN28" s="22"/>
      <c r="AO28" s="22"/>
      <c r="AP28" s="21" t="str">
        <f aca="false">IF(OR($AM28="",$AI28=""),"",$AM28-$AI28)</f>
        <v/>
      </c>
      <c r="AQ28" s="23" t="str">
        <f aca="false">IF(OR($AM28="",$AM28=0,$AP28=""),"",$AP28/$AM28)</f>
        <v/>
      </c>
      <c r="AR28" s="18"/>
      <c r="AS28" s="18"/>
      <c r="AT28" s="17"/>
      <c r="AU28" s="22"/>
      <c r="AV28" s="21" t="str">
        <f aca="false">IF(OR($AU28="",$AI28=""),"",$AU28-$AI28)</f>
        <v/>
      </c>
      <c r="AW28" s="23" t="str">
        <f aca="false">IF(OR($AU28="",$AU28=0,$AV28=""),"",$AV28/$AU28)</f>
        <v/>
      </c>
      <c r="AX28" s="18"/>
      <c r="AY28" s="18"/>
      <c r="AZ28" s="18"/>
      <c r="BA28" s="18"/>
      <c r="BB28" s="18"/>
    </row>
    <row r="29" customFormat="false" ht="30" hidden="false" customHeight="true" outlineLevel="0" collapsed="false">
      <c r="A29" s="16"/>
      <c r="B29" s="16"/>
      <c r="C29" s="16"/>
      <c r="D29" s="17"/>
      <c r="E29" s="18"/>
      <c r="F29" s="18"/>
      <c r="G29" s="18"/>
      <c r="H29" s="18"/>
      <c r="I29" s="18"/>
      <c r="J29" s="18"/>
      <c r="K29" s="18"/>
      <c r="L29" s="18"/>
      <c r="M29" s="18"/>
      <c r="N29" s="19"/>
      <c r="O29" s="18"/>
      <c r="P29" s="19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9"/>
      <c r="AF29" s="20"/>
      <c r="AG29" s="21" t="str">
        <f aca="false">IF($AE29="","",$AE29*IF($AD29="GBP",1,IF($AF29&lt;&gt;"",$AF29,IFERROR(INDEX(SETTINGS!$W$29:$W$36,MATCH($AD29,SETTINGS!$V$29:$V$36,0)),1))))</f>
        <v/>
      </c>
      <c r="AH29" s="22"/>
      <c r="AI29" s="21" t="str">
        <f aca="false">IF(N($AG29)+N($AH29)=0,"",N($AG29)+N($AH29))</f>
        <v/>
      </c>
      <c r="AJ29" s="18"/>
      <c r="AK29" s="18"/>
      <c r="AL29" s="18"/>
      <c r="AM29" s="22"/>
      <c r="AN29" s="22"/>
      <c r="AO29" s="22"/>
      <c r="AP29" s="21" t="str">
        <f aca="false">IF(OR($AM29="",$AI29=""),"",$AM29-$AI29)</f>
        <v/>
      </c>
      <c r="AQ29" s="23" t="str">
        <f aca="false">IF(OR($AM29="",$AM29=0,$AP29=""),"",$AP29/$AM29)</f>
        <v/>
      </c>
      <c r="AR29" s="18"/>
      <c r="AS29" s="18"/>
      <c r="AT29" s="17"/>
      <c r="AU29" s="22"/>
      <c r="AV29" s="21" t="str">
        <f aca="false">IF(OR($AU29="",$AI29=""),"",$AU29-$AI29)</f>
        <v/>
      </c>
      <c r="AW29" s="23" t="str">
        <f aca="false">IF(OR($AU29="",$AU29=0,$AV29=""),"",$AV29/$AU29)</f>
        <v/>
      </c>
      <c r="AX29" s="18"/>
      <c r="AY29" s="18"/>
      <c r="AZ29" s="18"/>
      <c r="BA29" s="18"/>
      <c r="BB29" s="18"/>
    </row>
    <row r="30" customFormat="false" ht="30" hidden="false" customHeight="true" outlineLevel="0" collapsed="false">
      <c r="A30" s="16"/>
      <c r="B30" s="16"/>
      <c r="C30" s="16"/>
      <c r="D30" s="17"/>
      <c r="E30" s="18"/>
      <c r="F30" s="18"/>
      <c r="G30" s="18"/>
      <c r="H30" s="18"/>
      <c r="I30" s="18"/>
      <c r="J30" s="18"/>
      <c r="K30" s="18"/>
      <c r="L30" s="18"/>
      <c r="M30" s="18"/>
      <c r="N30" s="19"/>
      <c r="O30" s="18"/>
      <c r="P30" s="19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9"/>
      <c r="AF30" s="20"/>
      <c r="AG30" s="21" t="str">
        <f aca="false">IF($AE30="","",$AE30*IF($AD30="GBP",1,IF($AF30&lt;&gt;"",$AF30,IFERROR(INDEX(SETTINGS!$W$29:$W$36,MATCH($AD30,SETTINGS!$V$29:$V$36,0)),1))))</f>
        <v/>
      </c>
      <c r="AH30" s="22"/>
      <c r="AI30" s="21" t="str">
        <f aca="false">IF(N($AG30)+N($AH30)=0,"",N($AG30)+N($AH30))</f>
        <v/>
      </c>
      <c r="AJ30" s="18"/>
      <c r="AK30" s="18"/>
      <c r="AL30" s="18"/>
      <c r="AM30" s="22"/>
      <c r="AN30" s="22"/>
      <c r="AO30" s="22"/>
      <c r="AP30" s="21" t="str">
        <f aca="false">IF(OR($AM30="",$AI30=""),"",$AM30-$AI30)</f>
        <v/>
      </c>
      <c r="AQ30" s="23" t="str">
        <f aca="false">IF(OR($AM30="",$AM30=0,$AP30=""),"",$AP30/$AM30)</f>
        <v/>
      </c>
      <c r="AR30" s="18"/>
      <c r="AS30" s="18"/>
      <c r="AT30" s="17"/>
      <c r="AU30" s="22"/>
      <c r="AV30" s="21" t="str">
        <f aca="false">IF(OR($AU30="",$AI30=""),"",$AU30-$AI30)</f>
        <v/>
      </c>
      <c r="AW30" s="23" t="str">
        <f aca="false">IF(OR($AU30="",$AU30=0,$AV30=""),"",$AV30/$AU30)</f>
        <v/>
      </c>
      <c r="AX30" s="18"/>
      <c r="AY30" s="18"/>
      <c r="AZ30" s="18"/>
      <c r="BA30" s="18"/>
      <c r="BB30" s="18"/>
    </row>
    <row r="31" customFormat="false" ht="30" hidden="false" customHeight="true" outlineLevel="0" collapsed="false">
      <c r="A31" s="16"/>
      <c r="B31" s="16"/>
      <c r="C31" s="16"/>
      <c r="D31" s="17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8"/>
      <c r="P31" s="19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9"/>
      <c r="AF31" s="20"/>
      <c r="AG31" s="21" t="str">
        <f aca="false">IF($AE31="","",$AE31*IF($AD31="GBP",1,IF($AF31&lt;&gt;"",$AF31,IFERROR(INDEX(SETTINGS!$W$29:$W$36,MATCH($AD31,SETTINGS!$V$29:$V$36,0)),1))))</f>
        <v/>
      </c>
      <c r="AH31" s="22"/>
      <c r="AI31" s="21" t="str">
        <f aca="false">IF(N($AG31)+N($AH31)=0,"",N($AG31)+N($AH31))</f>
        <v/>
      </c>
      <c r="AJ31" s="18"/>
      <c r="AK31" s="18"/>
      <c r="AL31" s="18"/>
      <c r="AM31" s="22"/>
      <c r="AN31" s="22"/>
      <c r="AO31" s="22"/>
      <c r="AP31" s="21" t="str">
        <f aca="false">IF(OR($AM31="",$AI31=""),"",$AM31-$AI31)</f>
        <v/>
      </c>
      <c r="AQ31" s="23" t="str">
        <f aca="false">IF(OR($AM31="",$AM31=0,$AP31=""),"",$AP31/$AM31)</f>
        <v/>
      </c>
      <c r="AR31" s="18"/>
      <c r="AS31" s="18"/>
      <c r="AT31" s="17"/>
      <c r="AU31" s="22"/>
      <c r="AV31" s="21" t="str">
        <f aca="false">IF(OR($AU31="",$AI31=""),"",$AU31-$AI31)</f>
        <v/>
      </c>
      <c r="AW31" s="23" t="str">
        <f aca="false">IF(OR($AU31="",$AU31=0,$AV31=""),"",$AV31/$AU31)</f>
        <v/>
      </c>
      <c r="AX31" s="18"/>
      <c r="AY31" s="18"/>
      <c r="AZ31" s="18"/>
      <c r="BA31" s="18"/>
      <c r="BB31" s="18"/>
    </row>
    <row r="32" customFormat="false" ht="30" hidden="false" customHeight="true" outlineLevel="0" collapsed="false">
      <c r="A32" s="16"/>
      <c r="B32" s="16"/>
      <c r="C32" s="16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9"/>
      <c r="O32" s="18"/>
      <c r="P32" s="19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9"/>
      <c r="AF32" s="20"/>
      <c r="AG32" s="21" t="str">
        <f aca="false">IF($AE32="","",$AE32*IF($AD32="GBP",1,IF($AF32&lt;&gt;"",$AF32,IFERROR(INDEX(SETTINGS!$W$29:$W$36,MATCH($AD32,SETTINGS!$V$29:$V$36,0)),1))))</f>
        <v/>
      </c>
      <c r="AH32" s="22"/>
      <c r="AI32" s="21" t="str">
        <f aca="false">IF(N($AG32)+N($AH32)=0,"",N($AG32)+N($AH32))</f>
        <v/>
      </c>
      <c r="AJ32" s="18"/>
      <c r="AK32" s="18"/>
      <c r="AL32" s="18"/>
      <c r="AM32" s="22"/>
      <c r="AN32" s="22"/>
      <c r="AO32" s="22"/>
      <c r="AP32" s="21" t="str">
        <f aca="false">IF(OR($AM32="",$AI32=""),"",$AM32-$AI32)</f>
        <v/>
      </c>
      <c r="AQ32" s="23" t="str">
        <f aca="false">IF(OR($AM32="",$AM32=0,$AP32=""),"",$AP32/$AM32)</f>
        <v/>
      </c>
      <c r="AR32" s="18"/>
      <c r="AS32" s="18"/>
      <c r="AT32" s="17"/>
      <c r="AU32" s="22"/>
      <c r="AV32" s="21" t="str">
        <f aca="false">IF(OR($AU32="",$AI32=""),"",$AU32-$AI32)</f>
        <v/>
      </c>
      <c r="AW32" s="23" t="str">
        <f aca="false">IF(OR($AU32="",$AU32=0,$AV32=""),"",$AV32/$AU32)</f>
        <v/>
      </c>
      <c r="AX32" s="18"/>
      <c r="AY32" s="18"/>
      <c r="AZ32" s="18"/>
      <c r="BA32" s="18"/>
      <c r="BB32" s="18"/>
    </row>
    <row r="33" customFormat="false" ht="30" hidden="false" customHeight="true" outlineLevel="0" collapsed="false">
      <c r="A33" s="16"/>
      <c r="B33" s="16"/>
      <c r="C33" s="16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9"/>
      <c r="O33" s="18"/>
      <c r="P33" s="19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9"/>
      <c r="AF33" s="20"/>
      <c r="AG33" s="21" t="str">
        <f aca="false">IF($AE33="","",$AE33*IF($AD33="GBP",1,IF($AF33&lt;&gt;"",$AF33,IFERROR(INDEX(SETTINGS!$W$29:$W$36,MATCH($AD33,SETTINGS!$V$29:$V$36,0)),1))))</f>
        <v/>
      </c>
      <c r="AH33" s="22"/>
      <c r="AI33" s="21" t="str">
        <f aca="false">IF(N($AG33)+N($AH33)=0,"",N($AG33)+N($AH33))</f>
        <v/>
      </c>
      <c r="AJ33" s="18"/>
      <c r="AK33" s="18"/>
      <c r="AL33" s="18"/>
      <c r="AM33" s="22"/>
      <c r="AN33" s="22"/>
      <c r="AO33" s="22"/>
      <c r="AP33" s="21" t="str">
        <f aca="false">IF(OR($AM33="",$AI33=""),"",$AM33-$AI33)</f>
        <v/>
      </c>
      <c r="AQ33" s="23" t="str">
        <f aca="false">IF(OR($AM33="",$AM33=0,$AP33=""),"",$AP33/$AM33)</f>
        <v/>
      </c>
      <c r="AR33" s="18"/>
      <c r="AS33" s="18"/>
      <c r="AT33" s="17"/>
      <c r="AU33" s="22"/>
      <c r="AV33" s="21" t="str">
        <f aca="false">IF(OR($AU33="",$AI33=""),"",$AU33-$AI33)</f>
        <v/>
      </c>
      <c r="AW33" s="23" t="str">
        <f aca="false">IF(OR($AU33="",$AU33=0,$AV33=""),"",$AV33/$AU33)</f>
        <v/>
      </c>
      <c r="AX33" s="18"/>
      <c r="AY33" s="18"/>
      <c r="AZ33" s="18"/>
      <c r="BA33" s="18"/>
      <c r="BB33" s="18"/>
    </row>
    <row r="34" customFormat="false" ht="30" hidden="false" customHeight="true" outlineLevel="0" collapsed="false">
      <c r="A34" s="16"/>
      <c r="B34" s="16"/>
      <c r="C34" s="16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9"/>
      <c r="O34" s="18"/>
      <c r="P34" s="19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9"/>
      <c r="AF34" s="20"/>
      <c r="AG34" s="21" t="str">
        <f aca="false">IF($AE34="","",$AE34*IF($AD34="GBP",1,IF($AF34&lt;&gt;"",$AF34,IFERROR(INDEX(SETTINGS!$W$29:$W$36,MATCH($AD34,SETTINGS!$V$29:$V$36,0)),1))))</f>
        <v/>
      </c>
      <c r="AH34" s="22"/>
      <c r="AI34" s="21" t="str">
        <f aca="false">IF(N($AG34)+N($AH34)=0,"",N($AG34)+N($AH34))</f>
        <v/>
      </c>
      <c r="AJ34" s="18"/>
      <c r="AK34" s="18"/>
      <c r="AL34" s="18"/>
      <c r="AM34" s="22"/>
      <c r="AN34" s="22"/>
      <c r="AO34" s="22"/>
      <c r="AP34" s="21" t="str">
        <f aca="false">IF(OR($AM34="",$AI34=""),"",$AM34-$AI34)</f>
        <v/>
      </c>
      <c r="AQ34" s="23" t="str">
        <f aca="false">IF(OR($AM34="",$AM34=0,$AP34=""),"",$AP34/$AM34)</f>
        <v/>
      </c>
      <c r="AR34" s="18"/>
      <c r="AS34" s="18"/>
      <c r="AT34" s="17"/>
      <c r="AU34" s="22"/>
      <c r="AV34" s="21" t="str">
        <f aca="false">IF(OR($AU34="",$AI34=""),"",$AU34-$AI34)</f>
        <v/>
      </c>
      <c r="AW34" s="23" t="str">
        <f aca="false">IF(OR($AU34="",$AU34=0,$AV34=""),"",$AV34/$AU34)</f>
        <v/>
      </c>
      <c r="AX34" s="18"/>
      <c r="AY34" s="18"/>
      <c r="AZ34" s="18"/>
      <c r="BA34" s="18"/>
      <c r="BB34" s="18"/>
    </row>
    <row r="35" customFormat="false" ht="30" hidden="false" customHeight="true" outlineLevel="0" collapsed="false">
      <c r="A35" s="16"/>
      <c r="B35" s="16"/>
      <c r="C35" s="16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9"/>
      <c r="O35" s="18"/>
      <c r="P35" s="19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9"/>
      <c r="AF35" s="20"/>
      <c r="AG35" s="21" t="str">
        <f aca="false">IF($AE35="","",$AE35*IF($AD35="GBP",1,IF($AF35&lt;&gt;"",$AF35,IFERROR(INDEX(SETTINGS!$W$29:$W$36,MATCH($AD35,SETTINGS!$V$29:$V$36,0)),1))))</f>
        <v/>
      </c>
      <c r="AH35" s="22"/>
      <c r="AI35" s="21" t="str">
        <f aca="false">IF(N($AG35)+N($AH35)=0,"",N($AG35)+N($AH35))</f>
        <v/>
      </c>
      <c r="AJ35" s="18"/>
      <c r="AK35" s="18"/>
      <c r="AL35" s="18"/>
      <c r="AM35" s="22"/>
      <c r="AN35" s="22"/>
      <c r="AO35" s="22"/>
      <c r="AP35" s="21" t="str">
        <f aca="false">IF(OR($AM35="",$AI35=""),"",$AM35-$AI35)</f>
        <v/>
      </c>
      <c r="AQ35" s="23" t="str">
        <f aca="false">IF(OR($AM35="",$AM35=0,$AP35=""),"",$AP35/$AM35)</f>
        <v/>
      </c>
      <c r="AR35" s="18"/>
      <c r="AS35" s="18"/>
      <c r="AT35" s="17"/>
      <c r="AU35" s="22"/>
      <c r="AV35" s="21" t="str">
        <f aca="false">IF(OR($AU35="",$AI35=""),"",$AU35-$AI35)</f>
        <v/>
      </c>
      <c r="AW35" s="23" t="str">
        <f aca="false">IF(OR($AU35="",$AU35=0,$AV35=""),"",$AV35/$AU35)</f>
        <v/>
      </c>
      <c r="AX35" s="18"/>
      <c r="AY35" s="18"/>
      <c r="AZ35" s="18"/>
      <c r="BA35" s="18"/>
      <c r="BB35" s="18"/>
    </row>
    <row r="36" customFormat="false" ht="30" hidden="false" customHeight="true" outlineLevel="0" collapsed="false">
      <c r="A36" s="16"/>
      <c r="B36" s="16"/>
      <c r="C36" s="16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9"/>
      <c r="O36" s="18"/>
      <c r="P36" s="19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9"/>
      <c r="AF36" s="20"/>
      <c r="AG36" s="21" t="str">
        <f aca="false">IF($AE36="","",$AE36*IF($AD36="GBP",1,IF($AF36&lt;&gt;"",$AF36,IFERROR(INDEX(SETTINGS!$W$29:$W$36,MATCH($AD36,SETTINGS!$V$29:$V$36,0)),1))))</f>
        <v/>
      </c>
      <c r="AH36" s="22"/>
      <c r="AI36" s="21" t="str">
        <f aca="false">IF(N($AG36)+N($AH36)=0,"",N($AG36)+N($AH36))</f>
        <v/>
      </c>
      <c r="AJ36" s="18"/>
      <c r="AK36" s="18"/>
      <c r="AL36" s="18"/>
      <c r="AM36" s="22"/>
      <c r="AN36" s="22"/>
      <c r="AO36" s="22"/>
      <c r="AP36" s="21" t="str">
        <f aca="false">IF(OR($AM36="",$AI36=""),"",$AM36-$AI36)</f>
        <v/>
      </c>
      <c r="AQ36" s="23" t="str">
        <f aca="false">IF(OR($AM36="",$AM36=0,$AP36=""),"",$AP36/$AM36)</f>
        <v/>
      </c>
      <c r="AR36" s="18"/>
      <c r="AS36" s="18"/>
      <c r="AT36" s="17"/>
      <c r="AU36" s="22"/>
      <c r="AV36" s="21" t="str">
        <f aca="false">IF(OR($AU36="",$AI36=""),"",$AU36-$AI36)</f>
        <v/>
      </c>
      <c r="AW36" s="23" t="str">
        <f aca="false">IF(OR($AU36="",$AU36=0,$AV36=""),"",$AV36/$AU36)</f>
        <v/>
      </c>
      <c r="AX36" s="18"/>
      <c r="AY36" s="18"/>
      <c r="AZ36" s="18"/>
      <c r="BA36" s="18"/>
      <c r="BB36" s="18"/>
    </row>
    <row r="37" customFormat="false" ht="30" hidden="false" customHeight="true" outlineLevel="0" collapsed="false">
      <c r="A37" s="16"/>
      <c r="B37" s="16"/>
      <c r="C37" s="16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9"/>
      <c r="O37" s="18"/>
      <c r="P37" s="19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9"/>
      <c r="AF37" s="20"/>
      <c r="AG37" s="21" t="str">
        <f aca="false">IF($AE37="","",$AE37*IF($AD37="GBP",1,IF($AF37&lt;&gt;"",$AF37,IFERROR(INDEX(SETTINGS!$W$29:$W$36,MATCH($AD37,SETTINGS!$V$29:$V$36,0)),1))))</f>
        <v/>
      </c>
      <c r="AH37" s="22"/>
      <c r="AI37" s="21" t="str">
        <f aca="false">IF(N($AG37)+N($AH37)=0,"",N($AG37)+N($AH37))</f>
        <v/>
      </c>
      <c r="AJ37" s="18"/>
      <c r="AK37" s="18"/>
      <c r="AL37" s="18"/>
      <c r="AM37" s="22"/>
      <c r="AN37" s="22"/>
      <c r="AO37" s="22"/>
      <c r="AP37" s="21" t="str">
        <f aca="false">IF(OR($AM37="",$AI37=""),"",$AM37-$AI37)</f>
        <v/>
      </c>
      <c r="AQ37" s="23" t="str">
        <f aca="false">IF(OR($AM37="",$AM37=0,$AP37=""),"",$AP37/$AM37)</f>
        <v/>
      </c>
      <c r="AR37" s="18"/>
      <c r="AS37" s="18"/>
      <c r="AT37" s="17"/>
      <c r="AU37" s="22"/>
      <c r="AV37" s="21" t="str">
        <f aca="false">IF(OR($AU37="",$AI37=""),"",$AU37-$AI37)</f>
        <v/>
      </c>
      <c r="AW37" s="23" t="str">
        <f aca="false">IF(OR($AU37="",$AU37=0,$AV37=""),"",$AV37/$AU37)</f>
        <v/>
      </c>
      <c r="AX37" s="18"/>
      <c r="AY37" s="18"/>
      <c r="AZ37" s="18"/>
      <c r="BA37" s="18"/>
      <c r="BB37" s="18"/>
    </row>
    <row r="38" customFormat="false" ht="30" hidden="false" customHeight="true" outlineLevel="0" collapsed="false">
      <c r="A38" s="16"/>
      <c r="B38" s="16"/>
      <c r="C38" s="16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18"/>
      <c r="P38" s="19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9"/>
      <c r="AF38" s="20"/>
      <c r="AG38" s="21" t="str">
        <f aca="false">IF($AE38="","",$AE38*IF($AD38="GBP",1,IF($AF38&lt;&gt;"",$AF38,IFERROR(INDEX(SETTINGS!$W$29:$W$36,MATCH($AD38,SETTINGS!$V$29:$V$36,0)),1))))</f>
        <v/>
      </c>
      <c r="AH38" s="22"/>
      <c r="AI38" s="21" t="str">
        <f aca="false">IF(N($AG38)+N($AH38)=0,"",N($AG38)+N($AH38))</f>
        <v/>
      </c>
      <c r="AJ38" s="18"/>
      <c r="AK38" s="18"/>
      <c r="AL38" s="18"/>
      <c r="AM38" s="22"/>
      <c r="AN38" s="22"/>
      <c r="AO38" s="22"/>
      <c r="AP38" s="21" t="str">
        <f aca="false">IF(OR($AM38="",$AI38=""),"",$AM38-$AI38)</f>
        <v/>
      </c>
      <c r="AQ38" s="23" t="str">
        <f aca="false">IF(OR($AM38="",$AM38=0,$AP38=""),"",$AP38/$AM38)</f>
        <v/>
      </c>
      <c r="AR38" s="18"/>
      <c r="AS38" s="18"/>
      <c r="AT38" s="17"/>
      <c r="AU38" s="22"/>
      <c r="AV38" s="21" t="str">
        <f aca="false">IF(OR($AU38="",$AI38=""),"",$AU38-$AI38)</f>
        <v/>
      </c>
      <c r="AW38" s="23" t="str">
        <f aca="false">IF(OR($AU38="",$AU38=0,$AV38=""),"",$AV38/$AU38)</f>
        <v/>
      </c>
      <c r="AX38" s="18"/>
      <c r="AY38" s="18"/>
      <c r="AZ38" s="18"/>
      <c r="BA38" s="18"/>
      <c r="BB38" s="18"/>
    </row>
    <row r="39" customFormat="false" ht="30" hidden="false" customHeight="true" outlineLevel="0" collapsed="false">
      <c r="A39" s="16"/>
      <c r="B39" s="16"/>
      <c r="C39" s="16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9"/>
      <c r="O39" s="18"/>
      <c r="P39" s="19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9"/>
      <c r="AF39" s="20"/>
      <c r="AG39" s="21" t="str">
        <f aca="false">IF($AE39="","",$AE39*IF($AD39="GBP",1,IF($AF39&lt;&gt;"",$AF39,IFERROR(INDEX(SETTINGS!$W$29:$W$36,MATCH($AD39,SETTINGS!$V$29:$V$36,0)),1))))</f>
        <v/>
      </c>
      <c r="AH39" s="22"/>
      <c r="AI39" s="21" t="str">
        <f aca="false">IF(N($AG39)+N($AH39)=0,"",N($AG39)+N($AH39))</f>
        <v/>
      </c>
      <c r="AJ39" s="18"/>
      <c r="AK39" s="18"/>
      <c r="AL39" s="18"/>
      <c r="AM39" s="22"/>
      <c r="AN39" s="22"/>
      <c r="AO39" s="22"/>
      <c r="AP39" s="21" t="str">
        <f aca="false">IF(OR($AM39="",$AI39=""),"",$AM39-$AI39)</f>
        <v/>
      </c>
      <c r="AQ39" s="23" t="str">
        <f aca="false">IF(OR($AM39="",$AM39=0,$AP39=""),"",$AP39/$AM39)</f>
        <v/>
      </c>
      <c r="AR39" s="18"/>
      <c r="AS39" s="18"/>
      <c r="AT39" s="17"/>
      <c r="AU39" s="22"/>
      <c r="AV39" s="21" t="str">
        <f aca="false">IF(OR($AU39="",$AI39=""),"",$AU39-$AI39)</f>
        <v/>
      </c>
      <c r="AW39" s="23" t="str">
        <f aca="false">IF(OR($AU39="",$AU39=0,$AV39=""),"",$AV39/$AU39)</f>
        <v/>
      </c>
      <c r="AX39" s="18"/>
      <c r="AY39" s="18"/>
      <c r="AZ39" s="18"/>
      <c r="BA39" s="18"/>
      <c r="BB39" s="18"/>
    </row>
    <row r="40" customFormat="false" ht="30" hidden="false" customHeight="true" outlineLevel="0" collapsed="false">
      <c r="A40" s="16"/>
      <c r="B40" s="16"/>
      <c r="C40" s="16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9"/>
      <c r="O40" s="18"/>
      <c r="P40" s="19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9"/>
      <c r="AF40" s="20"/>
      <c r="AG40" s="21" t="str">
        <f aca="false">IF($AE40="","",$AE40*IF($AD40="GBP",1,IF($AF40&lt;&gt;"",$AF40,IFERROR(INDEX(SETTINGS!$W$29:$W$36,MATCH($AD40,SETTINGS!$V$29:$V$36,0)),1))))</f>
        <v/>
      </c>
      <c r="AH40" s="22"/>
      <c r="AI40" s="21" t="str">
        <f aca="false">IF(N($AG40)+N($AH40)=0,"",N($AG40)+N($AH40))</f>
        <v/>
      </c>
      <c r="AJ40" s="18"/>
      <c r="AK40" s="18"/>
      <c r="AL40" s="18"/>
      <c r="AM40" s="22"/>
      <c r="AN40" s="22"/>
      <c r="AO40" s="22"/>
      <c r="AP40" s="21" t="str">
        <f aca="false">IF(OR($AM40="",$AI40=""),"",$AM40-$AI40)</f>
        <v/>
      </c>
      <c r="AQ40" s="23" t="str">
        <f aca="false">IF(OR($AM40="",$AM40=0,$AP40=""),"",$AP40/$AM40)</f>
        <v/>
      </c>
      <c r="AR40" s="18"/>
      <c r="AS40" s="18"/>
      <c r="AT40" s="17"/>
      <c r="AU40" s="22"/>
      <c r="AV40" s="21" t="str">
        <f aca="false">IF(OR($AU40="",$AI40=""),"",$AU40-$AI40)</f>
        <v/>
      </c>
      <c r="AW40" s="23" t="str">
        <f aca="false">IF(OR($AU40="",$AU40=0,$AV40=""),"",$AV40/$AU40)</f>
        <v/>
      </c>
      <c r="AX40" s="18"/>
      <c r="AY40" s="18"/>
      <c r="AZ40" s="18"/>
      <c r="BA40" s="18"/>
      <c r="BB40" s="18"/>
    </row>
    <row r="41" customFormat="false" ht="30" hidden="false" customHeight="true" outlineLevel="0" collapsed="false">
      <c r="A41" s="16"/>
      <c r="B41" s="16"/>
      <c r="C41" s="16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9"/>
      <c r="O41" s="18"/>
      <c r="P41" s="19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9"/>
      <c r="AF41" s="20"/>
      <c r="AG41" s="21" t="str">
        <f aca="false">IF($AE41="","",$AE41*IF($AD41="GBP",1,IF($AF41&lt;&gt;"",$AF41,IFERROR(INDEX(SETTINGS!$W$29:$W$36,MATCH($AD41,SETTINGS!$V$29:$V$36,0)),1))))</f>
        <v/>
      </c>
      <c r="AH41" s="22"/>
      <c r="AI41" s="21" t="str">
        <f aca="false">IF(N($AG41)+N($AH41)=0,"",N($AG41)+N($AH41))</f>
        <v/>
      </c>
      <c r="AJ41" s="18"/>
      <c r="AK41" s="18"/>
      <c r="AL41" s="18"/>
      <c r="AM41" s="22"/>
      <c r="AN41" s="22"/>
      <c r="AO41" s="22"/>
      <c r="AP41" s="21" t="str">
        <f aca="false">IF(OR($AM41="",$AI41=""),"",$AM41-$AI41)</f>
        <v/>
      </c>
      <c r="AQ41" s="23" t="str">
        <f aca="false">IF(OR($AM41="",$AM41=0,$AP41=""),"",$AP41/$AM41)</f>
        <v/>
      </c>
      <c r="AR41" s="18"/>
      <c r="AS41" s="18"/>
      <c r="AT41" s="17"/>
      <c r="AU41" s="22"/>
      <c r="AV41" s="21" t="str">
        <f aca="false">IF(OR($AU41="",$AI41=""),"",$AU41-$AI41)</f>
        <v/>
      </c>
      <c r="AW41" s="23" t="str">
        <f aca="false">IF(OR($AU41="",$AU41=0,$AV41=""),"",$AV41/$AU41)</f>
        <v/>
      </c>
      <c r="AX41" s="18"/>
      <c r="AY41" s="18"/>
      <c r="AZ41" s="18"/>
      <c r="BA41" s="18"/>
      <c r="BB41" s="18"/>
    </row>
    <row r="42" customFormat="false" ht="30" hidden="false" customHeight="true" outlineLevel="0" collapsed="false">
      <c r="A42" s="16"/>
      <c r="B42" s="16"/>
      <c r="C42" s="16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9"/>
      <c r="O42" s="18"/>
      <c r="P42" s="19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9"/>
      <c r="AF42" s="20"/>
      <c r="AG42" s="21" t="str">
        <f aca="false">IF($AE42="","",$AE42*IF($AD42="GBP",1,IF($AF42&lt;&gt;"",$AF42,IFERROR(INDEX(SETTINGS!$W$29:$W$36,MATCH($AD42,SETTINGS!$V$29:$V$36,0)),1))))</f>
        <v/>
      </c>
      <c r="AH42" s="22"/>
      <c r="AI42" s="21" t="str">
        <f aca="false">IF(N($AG42)+N($AH42)=0,"",N($AG42)+N($AH42))</f>
        <v/>
      </c>
      <c r="AJ42" s="18"/>
      <c r="AK42" s="18"/>
      <c r="AL42" s="18"/>
      <c r="AM42" s="22"/>
      <c r="AN42" s="22"/>
      <c r="AO42" s="22"/>
      <c r="AP42" s="21" t="str">
        <f aca="false">IF(OR($AM42="",$AI42=""),"",$AM42-$AI42)</f>
        <v/>
      </c>
      <c r="AQ42" s="23" t="str">
        <f aca="false">IF(OR($AM42="",$AM42=0,$AP42=""),"",$AP42/$AM42)</f>
        <v/>
      </c>
      <c r="AR42" s="18"/>
      <c r="AS42" s="18"/>
      <c r="AT42" s="17"/>
      <c r="AU42" s="22"/>
      <c r="AV42" s="21" t="str">
        <f aca="false">IF(OR($AU42="",$AI42=""),"",$AU42-$AI42)</f>
        <v/>
      </c>
      <c r="AW42" s="23" t="str">
        <f aca="false">IF(OR($AU42="",$AU42=0,$AV42=""),"",$AV42/$AU42)</f>
        <v/>
      </c>
      <c r="AX42" s="18"/>
      <c r="AY42" s="18"/>
      <c r="AZ42" s="18"/>
      <c r="BA42" s="18"/>
      <c r="BB42" s="18"/>
    </row>
    <row r="43" customFormat="false" ht="30" hidden="false" customHeight="true" outlineLevel="0" collapsed="false">
      <c r="A43" s="16"/>
      <c r="B43" s="16"/>
      <c r="C43" s="16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9"/>
      <c r="O43" s="18"/>
      <c r="P43" s="19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9"/>
      <c r="AF43" s="20"/>
      <c r="AG43" s="21" t="str">
        <f aca="false">IF($AE43="","",$AE43*IF($AD43="GBP",1,IF($AF43&lt;&gt;"",$AF43,IFERROR(INDEX(SETTINGS!$W$29:$W$36,MATCH($AD43,SETTINGS!$V$29:$V$36,0)),1))))</f>
        <v/>
      </c>
      <c r="AH43" s="22"/>
      <c r="AI43" s="21" t="str">
        <f aca="false">IF(N($AG43)+N($AH43)=0,"",N($AG43)+N($AH43))</f>
        <v/>
      </c>
      <c r="AJ43" s="18"/>
      <c r="AK43" s="18"/>
      <c r="AL43" s="18"/>
      <c r="AM43" s="22"/>
      <c r="AN43" s="22"/>
      <c r="AO43" s="22"/>
      <c r="AP43" s="21" t="str">
        <f aca="false">IF(OR($AM43="",$AI43=""),"",$AM43-$AI43)</f>
        <v/>
      </c>
      <c r="AQ43" s="23" t="str">
        <f aca="false">IF(OR($AM43="",$AM43=0,$AP43=""),"",$AP43/$AM43)</f>
        <v/>
      </c>
      <c r="AR43" s="18"/>
      <c r="AS43" s="18"/>
      <c r="AT43" s="17"/>
      <c r="AU43" s="22"/>
      <c r="AV43" s="21" t="str">
        <f aca="false">IF(OR($AU43="",$AI43=""),"",$AU43-$AI43)</f>
        <v/>
      </c>
      <c r="AW43" s="23" t="str">
        <f aca="false">IF(OR($AU43="",$AU43=0,$AV43=""),"",$AV43/$AU43)</f>
        <v/>
      </c>
      <c r="AX43" s="18"/>
      <c r="AY43" s="18"/>
      <c r="AZ43" s="18"/>
      <c r="BA43" s="18"/>
      <c r="BB43" s="18"/>
    </row>
    <row r="44" customFormat="false" ht="30" hidden="false" customHeight="true" outlineLevel="0" collapsed="false">
      <c r="A44" s="16"/>
      <c r="B44" s="16"/>
      <c r="C44" s="16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9"/>
      <c r="O44" s="18"/>
      <c r="P44" s="19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9"/>
      <c r="AF44" s="20"/>
      <c r="AG44" s="21" t="str">
        <f aca="false">IF($AE44="","",$AE44*IF($AD44="GBP",1,IF($AF44&lt;&gt;"",$AF44,IFERROR(INDEX(SETTINGS!$W$29:$W$36,MATCH($AD44,SETTINGS!$V$29:$V$36,0)),1))))</f>
        <v/>
      </c>
      <c r="AH44" s="22"/>
      <c r="AI44" s="21" t="str">
        <f aca="false">IF(N($AG44)+N($AH44)=0,"",N($AG44)+N($AH44))</f>
        <v/>
      </c>
      <c r="AJ44" s="18"/>
      <c r="AK44" s="18"/>
      <c r="AL44" s="18"/>
      <c r="AM44" s="22"/>
      <c r="AN44" s="22"/>
      <c r="AO44" s="22"/>
      <c r="AP44" s="21" t="str">
        <f aca="false">IF(OR($AM44="",$AI44=""),"",$AM44-$AI44)</f>
        <v/>
      </c>
      <c r="AQ44" s="23" t="str">
        <f aca="false">IF(OR($AM44="",$AM44=0,$AP44=""),"",$AP44/$AM44)</f>
        <v/>
      </c>
      <c r="AR44" s="18"/>
      <c r="AS44" s="18"/>
      <c r="AT44" s="17"/>
      <c r="AU44" s="22"/>
      <c r="AV44" s="21" t="str">
        <f aca="false">IF(OR($AU44="",$AI44=""),"",$AU44-$AI44)</f>
        <v/>
      </c>
      <c r="AW44" s="23" t="str">
        <f aca="false">IF(OR($AU44="",$AU44=0,$AV44=""),"",$AV44/$AU44)</f>
        <v/>
      </c>
      <c r="AX44" s="18"/>
      <c r="AY44" s="18"/>
      <c r="AZ44" s="18"/>
      <c r="BA44" s="18"/>
      <c r="BB44" s="18"/>
    </row>
    <row r="45" customFormat="false" ht="30" hidden="false" customHeight="true" outlineLevel="0" collapsed="false">
      <c r="A45" s="16"/>
      <c r="B45" s="16"/>
      <c r="C45" s="16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9"/>
      <c r="O45" s="18"/>
      <c r="P45" s="19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9"/>
      <c r="AF45" s="20"/>
      <c r="AG45" s="21" t="str">
        <f aca="false">IF($AE45="","",$AE45*IF($AD45="GBP",1,IF($AF45&lt;&gt;"",$AF45,IFERROR(INDEX(SETTINGS!$W$29:$W$36,MATCH($AD45,SETTINGS!$V$29:$V$36,0)),1))))</f>
        <v/>
      </c>
      <c r="AH45" s="22"/>
      <c r="AI45" s="21" t="str">
        <f aca="false">IF(N($AG45)+N($AH45)=0,"",N($AG45)+N($AH45))</f>
        <v/>
      </c>
      <c r="AJ45" s="18"/>
      <c r="AK45" s="18"/>
      <c r="AL45" s="18"/>
      <c r="AM45" s="22"/>
      <c r="AN45" s="22"/>
      <c r="AO45" s="22"/>
      <c r="AP45" s="21" t="str">
        <f aca="false">IF(OR($AM45="",$AI45=""),"",$AM45-$AI45)</f>
        <v/>
      </c>
      <c r="AQ45" s="23" t="str">
        <f aca="false">IF(OR($AM45="",$AM45=0,$AP45=""),"",$AP45/$AM45)</f>
        <v/>
      </c>
      <c r="AR45" s="18"/>
      <c r="AS45" s="18"/>
      <c r="AT45" s="17"/>
      <c r="AU45" s="22"/>
      <c r="AV45" s="21" t="str">
        <f aca="false">IF(OR($AU45="",$AI45=""),"",$AU45-$AI45)</f>
        <v/>
      </c>
      <c r="AW45" s="23" t="str">
        <f aca="false">IF(OR($AU45="",$AU45=0,$AV45=""),"",$AV45/$AU45)</f>
        <v/>
      </c>
      <c r="AX45" s="18"/>
      <c r="AY45" s="18"/>
      <c r="AZ45" s="18"/>
      <c r="BA45" s="18"/>
      <c r="BB45" s="18"/>
    </row>
    <row r="46" customFormat="false" ht="30" hidden="false" customHeight="true" outlineLevel="0" collapsed="false">
      <c r="A46" s="16"/>
      <c r="B46" s="16"/>
      <c r="C46" s="16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9"/>
      <c r="O46" s="18"/>
      <c r="P46" s="19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9"/>
      <c r="AF46" s="20"/>
      <c r="AG46" s="21" t="str">
        <f aca="false">IF($AE46="","",$AE46*IF($AD46="GBP",1,IF($AF46&lt;&gt;"",$AF46,IFERROR(INDEX(SETTINGS!$W$29:$W$36,MATCH($AD46,SETTINGS!$V$29:$V$36,0)),1))))</f>
        <v/>
      </c>
      <c r="AH46" s="22"/>
      <c r="AI46" s="21" t="str">
        <f aca="false">IF(N($AG46)+N($AH46)=0,"",N($AG46)+N($AH46))</f>
        <v/>
      </c>
      <c r="AJ46" s="18"/>
      <c r="AK46" s="18"/>
      <c r="AL46" s="18"/>
      <c r="AM46" s="22"/>
      <c r="AN46" s="22"/>
      <c r="AO46" s="22"/>
      <c r="AP46" s="21" t="str">
        <f aca="false">IF(OR($AM46="",$AI46=""),"",$AM46-$AI46)</f>
        <v/>
      </c>
      <c r="AQ46" s="23" t="str">
        <f aca="false">IF(OR($AM46="",$AM46=0,$AP46=""),"",$AP46/$AM46)</f>
        <v/>
      </c>
      <c r="AR46" s="18"/>
      <c r="AS46" s="18"/>
      <c r="AT46" s="17"/>
      <c r="AU46" s="22"/>
      <c r="AV46" s="21" t="str">
        <f aca="false">IF(OR($AU46="",$AI46=""),"",$AU46-$AI46)</f>
        <v/>
      </c>
      <c r="AW46" s="23" t="str">
        <f aca="false">IF(OR($AU46="",$AU46=0,$AV46=""),"",$AV46/$AU46)</f>
        <v/>
      </c>
      <c r="AX46" s="18"/>
      <c r="AY46" s="18"/>
      <c r="AZ46" s="18"/>
      <c r="BA46" s="18"/>
      <c r="BB46" s="18"/>
    </row>
    <row r="47" customFormat="false" ht="30" hidden="false" customHeight="true" outlineLevel="0" collapsed="false">
      <c r="A47" s="16"/>
      <c r="B47" s="16"/>
      <c r="C47" s="16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9"/>
      <c r="O47" s="18"/>
      <c r="P47" s="19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9"/>
      <c r="AF47" s="20"/>
      <c r="AG47" s="21" t="str">
        <f aca="false">IF($AE47="","",$AE47*IF($AD47="GBP",1,IF($AF47&lt;&gt;"",$AF47,IFERROR(INDEX(SETTINGS!$W$29:$W$36,MATCH($AD47,SETTINGS!$V$29:$V$36,0)),1))))</f>
        <v/>
      </c>
      <c r="AH47" s="22"/>
      <c r="AI47" s="21" t="str">
        <f aca="false">IF(N($AG47)+N($AH47)=0,"",N($AG47)+N($AH47))</f>
        <v/>
      </c>
      <c r="AJ47" s="18"/>
      <c r="AK47" s="18"/>
      <c r="AL47" s="18"/>
      <c r="AM47" s="22"/>
      <c r="AN47" s="22"/>
      <c r="AO47" s="22"/>
      <c r="AP47" s="21" t="str">
        <f aca="false">IF(OR($AM47="",$AI47=""),"",$AM47-$AI47)</f>
        <v/>
      </c>
      <c r="AQ47" s="23" t="str">
        <f aca="false">IF(OR($AM47="",$AM47=0,$AP47=""),"",$AP47/$AM47)</f>
        <v/>
      </c>
      <c r="AR47" s="18"/>
      <c r="AS47" s="18"/>
      <c r="AT47" s="17"/>
      <c r="AU47" s="22"/>
      <c r="AV47" s="21" t="str">
        <f aca="false">IF(OR($AU47="",$AI47=""),"",$AU47-$AI47)</f>
        <v/>
      </c>
      <c r="AW47" s="23" t="str">
        <f aca="false">IF(OR($AU47="",$AU47=0,$AV47=""),"",$AV47/$AU47)</f>
        <v/>
      </c>
      <c r="AX47" s="18"/>
      <c r="AY47" s="18"/>
      <c r="AZ47" s="18"/>
      <c r="BA47" s="18"/>
      <c r="BB47" s="18"/>
    </row>
    <row r="48" customFormat="false" ht="30" hidden="false" customHeight="true" outlineLevel="0" collapsed="false">
      <c r="A48" s="16"/>
      <c r="B48" s="16"/>
      <c r="C48" s="16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9"/>
      <c r="O48" s="18"/>
      <c r="P48" s="19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9"/>
      <c r="AF48" s="20"/>
      <c r="AG48" s="21" t="str">
        <f aca="false">IF($AE48="","",$AE48*IF($AD48="GBP",1,IF($AF48&lt;&gt;"",$AF48,IFERROR(INDEX(SETTINGS!$W$29:$W$36,MATCH($AD48,SETTINGS!$V$29:$V$36,0)),1))))</f>
        <v/>
      </c>
      <c r="AH48" s="22"/>
      <c r="AI48" s="21" t="str">
        <f aca="false">IF(N($AG48)+N($AH48)=0,"",N($AG48)+N($AH48))</f>
        <v/>
      </c>
      <c r="AJ48" s="18"/>
      <c r="AK48" s="18"/>
      <c r="AL48" s="18"/>
      <c r="AM48" s="22"/>
      <c r="AN48" s="22"/>
      <c r="AO48" s="22"/>
      <c r="AP48" s="21" t="str">
        <f aca="false">IF(OR($AM48="",$AI48=""),"",$AM48-$AI48)</f>
        <v/>
      </c>
      <c r="AQ48" s="23" t="str">
        <f aca="false">IF(OR($AM48="",$AM48=0,$AP48=""),"",$AP48/$AM48)</f>
        <v/>
      </c>
      <c r="AR48" s="18"/>
      <c r="AS48" s="18"/>
      <c r="AT48" s="17"/>
      <c r="AU48" s="22"/>
      <c r="AV48" s="21" t="str">
        <f aca="false">IF(OR($AU48="",$AI48=""),"",$AU48-$AI48)</f>
        <v/>
      </c>
      <c r="AW48" s="23" t="str">
        <f aca="false">IF(OR($AU48="",$AU48=0,$AV48=""),"",$AV48/$AU48)</f>
        <v/>
      </c>
      <c r="AX48" s="18"/>
      <c r="AY48" s="18"/>
      <c r="AZ48" s="18"/>
      <c r="BA48" s="18"/>
      <c r="BB48" s="18"/>
    </row>
    <row r="49" customFormat="false" ht="30" hidden="false" customHeight="true" outlineLevel="0" collapsed="false">
      <c r="A49" s="16"/>
      <c r="B49" s="16"/>
      <c r="C49" s="16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9"/>
      <c r="O49" s="18"/>
      <c r="P49" s="19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9"/>
      <c r="AF49" s="20"/>
      <c r="AG49" s="21" t="str">
        <f aca="false">IF($AE49="","",$AE49*IF($AD49="GBP",1,IF($AF49&lt;&gt;"",$AF49,IFERROR(INDEX(SETTINGS!$W$29:$W$36,MATCH($AD49,SETTINGS!$V$29:$V$36,0)),1))))</f>
        <v/>
      </c>
      <c r="AH49" s="22"/>
      <c r="AI49" s="21" t="str">
        <f aca="false">IF(N($AG49)+N($AH49)=0,"",N($AG49)+N($AH49))</f>
        <v/>
      </c>
      <c r="AJ49" s="18"/>
      <c r="AK49" s="18"/>
      <c r="AL49" s="18"/>
      <c r="AM49" s="22"/>
      <c r="AN49" s="22"/>
      <c r="AO49" s="22"/>
      <c r="AP49" s="21" t="str">
        <f aca="false">IF(OR($AM49="",$AI49=""),"",$AM49-$AI49)</f>
        <v/>
      </c>
      <c r="AQ49" s="23" t="str">
        <f aca="false">IF(OR($AM49="",$AM49=0,$AP49=""),"",$AP49/$AM49)</f>
        <v/>
      </c>
      <c r="AR49" s="18"/>
      <c r="AS49" s="18"/>
      <c r="AT49" s="17"/>
      <c r="AU49" s="22"/>
      <c r="AV49" s="21" t="str">
        <f aca="false">IF(OR($AU49="",$AI49=""),"",$AU49-$AI49)</f>
        <v/>
      </c>
      <c r="AW49" s="23" t="str">
        <f aca="false">IF(OR($AU49="",$AU49=0,$AV49=""),"",$AV49/$AU49)</f>
        <v/>
      </c>
      <c r="AX49" s="18"/>
      <c r="AY49" s="18"/>
      <c r="AZ49" s="18"/>
      <c r="BA49" s="18"/>
      <c r="BB49" s="18"/>
    </row>
    <row r="50" customFormat="false" ht="30" hidden="false" customHeight="true" outlineLevel="0" collapsed="false">
      <c r="A50" s="16"/>
      <c r="B50" s="16"/>
      <c r="C50" s="16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9"/>
      <c r="O50" s="18"/>
      <c r="P50" s="19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9"/>
      <c r="AF50" s="20"/>
      <c r="AG50" s="21" t="str">
        <f aca="false">IF($AE50="","",$AE50*IF($AD50="GBP",1,IF($AF50&lt;&gt;"",$AF50,IFERROR(INDEX(SETTINGS!$W$29:$W$36,MATCH($AD50,SETTINGS!$V$29:$V$36,0)),1))))</f>
        <v/>
      </c>
      <c r="AH50" s="22"/>
      <c r="AI50" s="21" t="str">
        <f aca="false">IF(N($AG50)+N($AH50)=0,"",N($AG50)+N($AH50))</f>
        <v/>
      </c>
      <c r="AJ50" s="18"/>
      <c r="AK50" s="18"/>
      <c r="AL50" s="18"/>
      <c r="AM50" s="22"/>
      <c r="AN50" s="22"/>
      <c r="AO50" s="22"/>
      <c r="AP50" s="21" t="str">
        <f aca="false">IF(OR($AM50="",$AI50=""),"",$AM50-$AI50)</f>
        <v/>
      </c>
      <c r="AQ50" s="23" t="str">
        <f aca="false">IF(OR($AM50="",$AM50=0,$AP50=""),"",$AP50/$AM50)</f>
        <v/>
      </c>
      <c r="AR50" s="18"/>
      <c r="AS50" s="18"/>
      <c r="AT50" s="17"/>
      <c r="AU50" s="22"/>
      <c r="AV50" s="21" t="str">
        <f aca="false">IF(OR($AU50="",$AI50=""),"",$AU50-$AI50)</f>
        <v/>
      </c>
      <c r="AW50" s="23" t="str">
        <f aca="false">IF(OR($AU50="",$AU50=0,$AV50=""),"",$AV50/$AU50)</f>
        <v/>
      </c>
      <c r="AX50" s="18"/>
      <c r="AY50" s="18"/>
      <c r="AZ50" s="18"/>
      <c r="BA50" s="18"/>
      <c r="BB50" s="18"/>
    </row>
    <row r="51" customFormat="false" ht="30" hidden="false" customHeight="true" outlineLevel="0" collapsed="false">
      <c r="A51" s="16"/>
      <c r="B51" s="16"/>
      <c r="C51" s="16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9"/>
      <c r="O51" s="18"/>
      <c r="P51" s="19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9"/>
      <c r="AF51" s="20"/>
      <c r="AG51" s="21" t="str">
        <f aca="false">IF($AE51="","",$AE51*IF($AD51="GBP",1,IF($AF51&lt;&gt;"",$AF51,IFERROR(INDEX(SETTINGS!$W$29:$W$36,MATCH($AD51,SETTINGS!$V$29:$V$36,0)),1))))</f>
        <v/>
      </c>
      <c r="AH51" s="22"/>
      <c r="AI51" s="21" t="str">
        <f aca="false">IF(N($AG51)+N($AH51)=0,"",N($AG51)+N($AH51))</f>
        <v/>
      </c>
      <c r="AJ51" s="18"/>
      <c r="AK51" s="18"/>
      <c r="AL51" s="18"/>
      <c r="AM51" s="22"/>
      <c r="AN51" s="22"/>
      <c r="AO51" s="22"/>
      <c r="AP51" s="21" t="str">
        <f aca="false">IF(OR($AM51="",$AI51=""),"",$AM51-$AI51)</f>
        <v/>
      </c>
      <c r="AQ51" s="23" t="str">
        <f aca="false">IF(OR($AM51="",$AM51=0,$AP51=""),"",$AP51/$AM51)</f>
        <v/>
      </c>
      <c r="AR51" s="18"/>
      <c r="AS51" s="18"/>
      <c r="AT51" s="17"/>
      <c r="AU51" s="22"/>
      <c r="AV51" s="21" t="str">
        <f aca="false">IF(OR($AU51="",$AI51=""),"",$AU51-$AI51)</f>
        <v/>
      </c>
      <c r="AW51" s="23" t="str">
        <f aca="false">IF(OR($AU51="",$AU51=0,$AV51=""),"",$AV51/$AU51)</f>
        <v/>
      </c>
      <c r="AX51" s="18"/>
      <c r="AY51" s="18"/>
      <c r="AZ51" s="18"/>
      <c r="BA51" s="18"/>
      <c r="BB51" s="18"/>
    </row>
    <row r="52" customFormat="false" ht="30" hidden="false" customHeight="true" outlineLevel="0" collapsed="false">
      <c r="A52" s="16"/>
      <c r="B52" s="16"/>
      <c r="C52" s="16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9"/>
      <c r="O52" s="18"/>
      <c r="P52" s="19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9"/>
      <c r="AF52" s="20"/>
      <c r="AG52" s="21" t="str">
        <f aca="false">IF($AE52="","",$AE52*IF($AD52="GBP",1,IF($AF52&lt;&gt;"",$AF52,IFERROR(INDEX(SETTINGS!$W$29:$W$36,MATCH($AD52,SETTINGS!$V$29:$V$36,0)),1))))</f>
        <v/>
      </c>
      <c r="AH52" s="22"/>
      <c r="AI52" s="21" t="str">
        <f aca="false">IF(N($AG52)+N($AH52)=0,"",N($AG52)+N($AH52))</f>
        <v/>
      </c>
      <c r="AJ52" s="18"/>
      <c r="AK52" s="18"/>
      <c r="AL52" s="18"/>
      <c r="AM52" s="22"/>
      <c r="AN52" s="22"/>
      <c r="AO52" s="22"/>
      <c r="AP52" s="21" t="str">
        <f aca="false">IF(OR($AM52="",$AI52=""),"",$AM52-$AI52)</f>
        <v/>
      </c>
      <c r="AQ52" s="23" t="str">
        <f aca="false">IF(OR($AM52="",$AM52=0,$AP52=""),"",$AP52/$AM52)</f>
        <v/>
      </c>
      <c r="AR52" s="18"/>
      <c r="AS52" s="18"/>
      <c r="AT52" s="17"/>
      <c r="AU52" s="22"/>
      <c r="AV52" s="21" t="str">
        <f aca="false">IF(OR($AU52="",$AI52=""),"",$AU52-$AI52)</f>
        <v/>
      </c>
      <c r="AW52" s="23" t="str">
        <f aca="false">IF(OR($AU52="",$AU52=0,$AV52=""),"",$AV52/$AU52)</f>
        <v/>
      </c>
      <c r="AX52" s="18"/>
      <c r="AY52" s="18"/>
      <c r="AZ52" s="18"/>
      <c r="BA52" s="18"/>
      <c r="BB52" s="18"/>
    </row>
    <row r="53" customFormat="false" ht="30" hidden="false" customHeight="true" outlineLevel="0" collapsed="false">
      <c r="A53" s="16"/>
      <c r="B53" s="16"/>
      <c r="C53" s="16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9"/>
      <c r="O53" s="18"/>
      <c r="P53" s="19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9"/>
      <c r="AF53" s="20"/>
      <c r="AG53" s="21" t="str">
        <f aca="false">IF($AE53="","",$AE53*IF($AD53="GBP",1,IF($AF53&lt;&gt;"",$AF53,IFERROR(INDEX(SETTINGS!$W$29:$W$36,MATCH($AD53,SETTINGS!$V$29:$V$36,0)),1))))</f>
        <v/>
      </c>
      <c r="AH53" s="22"/>
      <c r="AI53" s="21" t="str">
        <f aca="false">IF(N($AG53)+N($AH53)=0,"",N($AG53)+N($AH53))</f>
        <v/>
      </c>
      <c r="AJ53" s="18"/>
      <c r="AK53" s="18"/>
      <c r="AL53" s="18"/>
      <c r="AM53" s="22"/>
      <c r="AN53" s="22"/>
      <c r="AO53" s="22"/>
      <c r="AP53" s="21" t="str">
        <f aca="false">IF(OR($AM53="",$AI53=""),"",$AM53-$AI53)</f>
        <v/>
      </c>
      <c r="AQ53" s="23" t="str">
        <f aca="false">IF(OR($AM53="",$AM53=0,$AP53=""),"",$AP53/$AM53)</f>
        <v/>
      </c>
      <c r="AR53" s="18"/>
      <c r="AS53" s="18"/>
      <c r="AT53" s="17"/>
      <c r="AU53" s="22"/>
      <c r="AV53" s="21" t="str">
        <f aca="false">IF(OR($AU53="",$AI53=""),"",$AU53-$AI53)</f>
        <v/>
      </c>
      <c r="AW53" s="23" t="str">
        <f aca="false">IF(OR($AU53="",$AU53=0,$AV53=""),"",$AV53/$AU53)</f>
        <v/>
      </c>
      <c r="AX53" s="18"/>
      <c r="AY53" s="18"/>
      <c r="AZ53" s="18"/>
      <c r="BA53" s="18"/>
      <c r="BB53" s="18"/>
    </row>
    <row r="54" customFormat="false" ht="30" hidden="false" customHeight="true" outlineLevel="0" collapsed="false">
      <c r="A54" s="16"/>
      <c r="B54" s="16"/>
      <c r="C54" s="16"/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9"/>
      <c r="O54" s="18"/>
      <c r="P54" s="19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9"/>
      <c r="AF54" s="20"/>
      <c r="AG54" s="21" t="str">
        <f aca="false">IF($AE54="","",$AE54*IF($AD54="GBP",1,IF($AF54&lt;&gt;"",$AF54,IFERROR(INDEX(SETTINGS!$W$29:$W$36,MATCH($AD54,SETTINGS!$V$29:$V$36,0)),1))))</f>
        <v/>
      </c>
      <c r="AH54" s="22"/>
      <c r="AI54" s="21" t="str">
        <f aca="false">IF(N($AG54)+N($AH54)=0,"",N($AG54)+N($AH54))</f>
        <v/>
      </c>
      <c r="AJ54" s="18"/>
      <c r="AK54" s="18"/>
      <c r="AL54" s="18"/>
      <c r="AM54" s="22"/>
      <c r="AN54" s="22"/>
      <c r="AO54" s="22"/>
      <c r="AP54" s="21" t="str">
        <f aca="false">IF(OR($AM54="",$AI54=""),"",$AM54-$AI54)</f>
        <v/>
      </c>
      <c r="AQ54" s="23" t="str">
        <f aca="false">IF(OR($AM54="",$AM54=0,$AP54=""),"",$AP54/$AM54)</f>
        <v/>
      </c>
      <c r="AR54" s="18"/>
      <c r="AS54" s="18"/>
      <c r="AT54" s="17"/>
      <c r="AU54" s="22"/>
      <c r="AV54" s="21" t="str">
        <f aca="false">IF(OR($AU54="",$AI54=""),"",$AU54-$AI54)</f>
        <v/>
      </c>
      <c r="AW54" s="23" t="str">
        <f aca="false">IF(OR($AU54="",$AU54=0,$AV54=""),"",$AV54/$AU54)</f>
        <v/>
      </c>
      <c r="AX54" s="18"/>
      <c r="AY54" s="18"/>
      <c r="AZ54" s="18"/>
      <c r="BA54" s="18"/>
      <c r="BB54" s="18"/>
    </row>
    <row r="55" customFormat="false" ht="30" hidden="false" customHeight="true" outlineLevel="0" collapsed="false">
      <c r="A55" s="16"/>
      <c r="B55" s="16"/>
      <c r="C55" s="16"/>
      <c r="D55" s="17"/>
      <c r="E55" s="18"/>
      <c r="F55" s="18"/>
      <c r="G55" s="18"/>
      <c r="H55" s="18"/>
      <c r="I55" s="18"/>
      <c r="J55" s="18"/>
      <c r="K55" s="18"/>
      <c r="L55" s="18"/>
      <c r="M55" s="18"/>
      <c r="N55" s="19"/>
      <c r="O55" s="18"/>
      <c r="P55" s="19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9"/>
      <c r="AF55" s="20"/>
      <c r="AG55" s="21" t="str">
        <f aca="false">IF($AE55="","",$AE55*IF($AD55="GBP",1,IF($AF55&lt;&gt;"",$AF55,IFERROR(INDEX(SETTINGS!$W$29:$W$36,MATCH($AD55,SETTINGS!$V$29:$V$36,0)),1))))</f>
        <v/>
      </c>
      <c r="AH55" s="22"/>
      <c r="AI55" s="21" t="str">
        <f aca="false">IF(N($AG55)+N($AH55)=0,"",N($AG55)+N($AH55))</f>
        <v/>
      </c>
      <c r="AJ55" s="18"/>
      <c r="AK55" s="18"/>
      <c r="AL55" s="18"/>
      <c r="AM55" s="22"/>
      <c r="AN55" s="22"/>
      <c r="AO55" s="22"/>
      <c r="AP55" s="21" t="str">
        <f aca="false">IF(OR($AM55="",$AI55=""),"",$AM55-$AI55)</f>
        <v/>
      </c>
      <c r="AQ55" s="23" t="str">
        <f aca="false">IF(OR($AM55="",$AM55=0,$AP55=""),"",$AP55/$AM55)</f>
        <v/>
      </c>
      <c r="AR55" s="18"/>
      <c r="AS55" s="18"/>
      <c r="AT55" s="17"/>
      <c r="AU55" s="22"/>
      <c r="AV55" s="21" t="str">
        <f aca="false">IF(OR($AU55="",$AI55=""),"",$AU55-$AI55)</f>
        <v/>
      </c>
      <c r="AW55" s="23" t="str">
        <f aca="false">IF(OR($AU55="",$AU55=0,$AV55=""),"",$AV55/$AU55)</f>
        <v/>
      </c>
      <c r="AX55" s="18"/>
      <c r="AY55" s="18"/>
      <c r="AZ55" s="18"/>
      <c r="BA55" s="18"/>
      <c r="BB55" s="18"/>
    </row>
    <row r="56" customFormat="false" ht="30" hidden="false" customHeight="true" outlineLevel="0" collapsed="false">
      <c r="A56" s="16"/>
      <c r="B56" s="16"/>
      <c r="C56" s="16"/>
      <c r="D56" s="17"/>
      <c r="E56" s="18"/>
      <c r="F56" s="18"/>
      <c r="G56" s="18"/>
      <c r="H56" s="18"/>
      <c r="I56" s="18"/>
      <c r="J56" s="18"/>
      <c r="K56" s="18"/>
      <c r="L56" s="18"/>
      <c r="M56" s="18"/>
      <c r="N56" s="19"/>
      <c r="O56" s="18"/>
      <c r="P56" s="19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9"/>
      <c r="AF56" s="20"/>
      <c r="AG56" s="21" t="str">
        <f aca="false">IF($AE56="","",$AE56*IF($AD56="GBP",1,IF($AF56&lt;&gt;"",$AF56,IFERROR(INDEX(SETTINGS!$W$29:$W$36,MATCH($AD56,SETTINGS!$V$29:$V$36,0)),1))))</f>
        <v/>
      </c>
      <c r="AH56" s="22"/>
      <c r="AI56" s="21" t="str">
        <f aca="false">IF(N($AG56)+N($AH56)=0,"",N($AG56)+N($AH56))</f>
        <v/>
      </c>
      <c r="AJ56" s="18"/>
      <c r="AK56" s="18"/>
      <c r="AL56" s="18"/>
      <c r="AM56" s="22"/>
      <c r="AN56" s="22"/>
      <c r="AO56" s="22"/>
      <c r="AP56" s="21" t="str">
        <f aca="false">IF(OR($AM56="",$AI56=""),"",$AM56-$AI56)</f>
        <v/>
      </c>
      <c r="AQ56" s="23" t="str">
        <f aca="false">IF(OR($AM56="",$AM56=0,$AP56=""),"",$AP56/$AM56)</f>
        <v/>
      </c>
      <c r="AR56" s="18"/>
      <c r="AS56" s="18"/>
      <c r="AT56" s="17"/>
      <c r="AU56" s="22"/>
      <c r="AV56" s="21" t="str">
        <f aca="false">IF(OR($AU56="",$AI56=""),"",$AU56-$AI56)</f>
        <v/>
      </c>
      <c r="AW56" s="23" t="str">
        <f aca="false">IF(OR($AU56="",$AU56=0,$AV56=""),"",$AV56/$AU56)</f>
        <v/>
      </c>
      <c r="AX56" s="18"/>
      <c r="AY56" s="18"/>
      <c r="AZ56" s="18"/>
      <c r="BA56" s="18"/>
      <c r="BB56" s="18"/>
    </row>
    <row r="57" customFormat="false" ht="30" hidden="false" customHeight="true" outlineLevel="0" collapsed="false">
      <c r="A57" s="16"/>
      <c r="B57" s="16"/>
      <c r="C57" s="16"/>
      <c r="D57" s="17"/>
      <c r="E57" s="18"/>
      <c r="F57" s="18"/>
      <c r="G57" s="18"/>
      <c r="H57" s="18"/>
      <c r="I57" s="18"/>
      <c r="J57" s="18"/>
      <c r="K57" s="18"/>
      <c r="L57" s="18"/>
      <c r="M57" s="18"/>
      <c r="N57" s="19"/>
      <c r="O57" s="18"/>
      <c r="P57" s="19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9"/>
      <c r="AF57" s="20"/>
      <c r="AG57" s="21" t="str">
        <f aca="false">IF($AE57="","",$AE57*IF($AD57="GBP",1,IF($AF57&lt;&gt;"",$AF57,IFERROR(INDEX(SETTINGS!$W$29:$W$36,MATCH($AD57,SETTINGS!$V$29:$V$36,0)),1))))</f>
        <v/>
      </c>
      <c r="AH57" s="22"/>
      <c r="AI57" s="21" t="str">
        <f aca="false">IF(N($AG57)+N($AH57)=0,"",N($AG57)+N($AH57))</f>
        <v/>
      </c>
      <c r="AJ57" s="18"/>
      <c r="AK57" s="18"/>
      <c r="AL57" s="18"/>
      <c r="AM57" s="22"/>
      <c r="AN57" s="22"/>
      <c r="AO57" s="22"/>
      <c r="AP57" s="21" t="str">
        <f aca="false">IF(OR($AM57="",$AI57=""),"",$AM57-$AI57)</f>
        <v/>
      </c>
      <c r="AQ57" s="23" t="str">
        <f aca="false">IF(OR($AM57="",$AM57=0,$AP57=""),"",$AP57/$AM57)</f>
        <v/>
      </c>
      <c r="AR57" s="18"/>
      <c r="AS57" s="18"/>
      <c r="AT57" s="17"/>
      <c r="AU57" s="22"/>
      <c r="AV57" s="21" t="str">
        <f aca="false">IF(OR($AU57="",$AI57=""),"",$AU57-$AI57)</f>
        <v/>
      </c>
      <c r="AW57" s="23" t="str">
        <f aca="false">IF(OR($AU57="",$AU57=0,$AV57=""),"",$AV57/$AU57)</f>
        <v/>
      </c>
      <c r="AX57" s="18"/>
      <c r="AY57" s="18"/>
      <c r="AZ57" s="18"/>
      <c r="BA57" s="18"/>
      <c r="BB57" s="18"/>
    </row>
    <row r="58" customFormat="false" ht="30" hidden="false" customHeight="true" outlineLevel="0" collapsed="false">
      <c r="A58" s="16"/>
      <c r="B58" s="16"/>
      <c r="C58" s="16"/>
      <c r="D58" s="17"/>
      <c r="E58" s="18"/>
      <c r="F58" s="18"/>
      <c r="G58" s="18"/>
      <c r="H58" s="18"/>
      <c r="I58" s="18"/>
      <c r="J58" s="18"/>
      <c r="K58" s="18"/>
      <c r="L58" s="18"/>
      <c r="M58" s="18"/>
      <c r="N58" s="19"/>
      <c r="O58" s="18"/>
      <c r="P58" s="19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9"/>
      <c r="AF58" s="20"/>
      <c r="AG58" s="21" t="str">
        <f aca="false">IF($AE58="","",$AE58*IF($AD58="GBP",1,IF($AF58&lt;&gt;"",$AF58,IFERROR(INDEX(SETTINGS!$W$29:$W$36,MATCH($AD58,SETTINGS!$V$29:$V$36,0)),1))))</f>
        <v/>
      </c>
      <c r="AH58" s="22"/>
      <c r="AI58" s="21" t="str">
        <f aca="false">IF(N($AG58)+N($AH58)=0,"",N($AG58)+N($AH58))</f>
        <v/>
      </c>
      <c r="AJ58" s="18"/>
      <c r="AK58" s="18"/>
      <c r="AL58" s="18"/>
      <c r="AM58" s="22"/>
      <c r="AN58" s="22"/>
      <c r="AO58" s="22"/>
      <c r="AP58" s="21" t="str">
        <f aca="false">IF(OR($AM58="",$AI58=""),"",$AM58-$AI58)</f>
        <v/>
      </c>
      <c r="AQ58" s="23" t="str">
        <f aca="false">IF(OR($AM58="",$AM58=0,$AP58=""),"",$AP58/$AM58)</f>
        <v/>
      </c>
      <c r="AR58" s="18"/>
      <c r="AS58" s="18"/>
      <c r="AT58" s="17"/>
      <c r="AU58" s="22"/>
      <c r="AV58" s="21" t="str">
        <f aca="false">IF(OR($AU58="",$AI58=""),"",$AU58-$AI58)</f>
        <v/>
      </c>
      <c r="AW58" s="23" t="str">
        <f aca="false">IF(OR($AU58="",$AU58=0,$AV58=""),"",$AV58/$AU58)</f>
        <v/>
      </c>
      <c r="AX58" s="18"/>
      <c r="AY58" s="18"/>
      <c r="AZ58" s="18"/>
      <c r="BA58" s="18"/>
      <c r="BB58" s="18"/>
    </row>
    <row r="59" customFormat="false" ht="30" hidden="false" customHeight="true" outlineLevel="0" collapsed="false">
      <c r="A59" s="16"/>
      <c r="B59" s="16"/>
      <c r="C59" s="16"/>
      <c r="D59" s="17"/>
      <c r="E59" s="18"/>
      <c r="F59" s="18"/>
      <c r="G59" s="18"/>
      <c r="H59" s="18"/>
      <c r="I59" s="18"/>
      <c r="J59" s="18"/>
      <c r="K59" s="18"/>
      <c r="L59" s="18"/>
      <c r="M59" s="18"/>
      <c r="N59" s="19"/>
      <c r="O59" s="18"/>
      <c r="P59" s="19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9"/>
      <c r="AF59" s="20"/>
      <c r="AG59" s="21" t="str">
        <f aca="false">IF($AE59="","",$AE59*IF($AD59="GBP",1,IF($AF59&lt;&gt;"",$AF59,IFERROR(INDEX(SETTINGS!$W$29:$W$36,MATCH($AD59,SETTINGS!$V$29:$V$36,0)),1))))</f>
        <v/>
      </c>
      <c r="AH59" s="22"/>
      <c r="AI59" s="21" t="str">
        <f aca="false">IF(N($AG59)+N($AH59)=0,"",N($AG59)+N($AH59))</f>
        <v/>
      </c>
      <c r="AJ59" s="18"/>
      <c r="AK59" s="18"/>
      <c r="AL59" s="18"/>
      <c r="AM59" s="22"/>
      <c r="AN59" s="22"/>
      <c r="AO59" s="22"/>
      <c r="AP59" s="21" t="str">
        <f aca="false">IF(OR($AM59="",$AI59=""),"",$AM59-$AI59)</f>
        <v/>
      </c>
      <c r="AQ59" s="23" t="str">
        <f aca="false">IF(OR($AM59="",$AM59=0,$AP59=""),"",$AP59/$AM59)</f>
        <v/>
      </c>
      <c r="AR59" s="18"/>
      <c r="AS59" s="18"/>
      <c r="AT59" s="17"/>
      <c r="AU59" s="22"/>
      <c r="AV59" s="21" t="str">
        <f aca="false">IF(OR($AU59="",$AI59=""),"",$AU59-$AI59)</f>
        <v/>
      </c>
      <c r="AW59" s="23" t="str">
        <f aca="false">IF(OR($AU59="",$AU59=0,$AV59=""),"",$AV59/$AU59)</f>
        <v/>
      </c>
      <c r="AX59" s="18"/>
      <c r="AY59" s="18"/>
      <c r="AZ59" s="18"/>
      <c r="BA59" s="18"/>
      <c r="BB59" s="18"/>
    </row>
    <row r="60" customFormat="false" ht="30" hidden="false" customHeight="true" outlineLevel="0" collapsed="false">
      <c r="A60" s="16"/>
      <c r="B60" s="16"/>
      <c r="C60" s="16"/>
      <c r="D60" s="17"/>
      <c r="E60" s="18"/>
      <c r="F60" s="18"/>
      <c r="G60" s="18"/>
      <c r="H60" s="18"/>
      <c r="I60" s="18"/>
      <c r="J60" s="18"/>
      <c r="K60" s="18"/>
      <c r="L60" s="18"/>
      <c r="M60" s="18"/>
      <c r="N60" s="19"/>
      <c r="O60" s="18"/>
      <c r="P60" s="19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9"/>
      <c r="AF60" s="20"/>
      <c r="AG60" s="21" t="str">
        <f aca="false">IF($AE60="","",$AE60*IF($AD60="GBP",1,IF($AF60&lt;&gt;"",$AF60,IFERROR(INDEX(SETTINGS!$W$29:$W$36,MATCH($AD60,SETTINGS!$V$29:$V$36,0)),1))))</f>
        <v/>
      </c>
      <c r="AH60" s="22"/>
      <c r="AI60" s="21" t="str">
        <f aca="false">IF(N($AG60)+N($AH60)=0,"",N($AG60)+N($AH60))</f>
        <v/>
      </c>
      <c r="AJ60" s="18"/>
      <c r="AK60" s="18"/>
      <c r="AL60" s="18"/>
      <c r="AM60" s="22"/>
      <c r="AN60" s="22"/>
      <c r="AO60" s="22"/>
      <c r="AP60" s="21" t="str">
        <f aca="false">IF(OR($AM60="",$AI60=""),"",$AM60-$AI60)</f>
        <v/>
      </c>
      <c r="AQ60" s="23" t="str">
        <f aca="false">IF(OR($AM60="",$AM60=0,$AP60=""),"",$AP60/$AM60)</f>
        <v/>
      </c>
      <c r="AR60" s="18"/>
      <c r="AS60" s="18"/>
      <c r="AT60" s="17"/>
      <c r="AU60" s="22"/>
      <c r="AV60" s="21" t="str">
        <f aca="false">IF(OR($AU60="",$AI60=""),"",$AU60-$AI60)</f>
        <v/>
      </c>
      <c r="AW60" s="23" t="str">
        <f aca="false">IF(OR($AU60="",$AU60=0,$AV60=""),"",$AV60/$AU60)</f>
        <v/>
      </c>
      <c r="AX60" s="18"/>
      <c r="AY60" s="18"/>
      <c r="AZ60" s="18"/>
      <c r="BA60" s="18"/>
      <c r="BB60" s="18"/>
    </row>
    <row r="61" customFormat="false" ht="30" hidden="false" customHeight="true" outlineLevel="0" collapsed="false">
      <c r="A61" s="16"/>
      <c r="B61" s="16"/>
      <c r="C61" s="16"/>
      <c r="D61" s="17"/>
      <c r="E61" s="18"/>
      <c r="F61" s="18"/>
      <c r="G61" s="18"/>
      <c r="H61" s="18"/>
      <c r="I61" s="18"/>
      <c r="J61" s="18"/>
      <c r="K61" s="18"/>
      <c r="L61" s="18"/>
      <c r="M61" s="18"/>
      <c r="N61" s="19"/>
      <c r="O61" s="18"/>
      <c r="P61" s="19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9"/>
      <c r="AF61" s="20"/>
      <c r="AG61" s="21" t="str">
        <f aca="false">IF($AE61="","",$AE61*IF($AD61="GBP",1,IF($AF61&lt;&gt;"",$AF61,IFERROR(INDEX(SETTINGS!$W$29:$W$36,MATCH($AD61,SETTINGS!$V$29:$V$36,0)),1))))</f>
        <v/>
      </c>
      <c r="AH61" s="22"/>
      <c r="AI61" s="21" t="str">
        <f aca="false">IF(N($AG61)+N($AH61)=0,"",N($AG61)+N($AH61))</f>
        <v/>
      </c>
      <c r="AJ61" s="18"/>
      <c r="AK61" s="18"/>
      <c r="AL61" s="18"/>
      <c r="AM61" s="22"/>
      <c r="AN61" s="22"/>
      <c r="AO61" s="22"/>
      <c r="AP61" s="21" t="str">
        <f aca="false">IF(OR($AM61="",$AI61=""),"",$AM61-$AI61)</f>
        <v/>
      </c>
      <c r="AQ61" s="23" t="str">
        <f aca="false">IF(OR($AM61="",$AM61=0,$AP61=""),"",$AP61/$AM61)</f>
        <v/>
      </c>
      <c r="AR61" s="18"/>
      <c r="AS61" s="18"/>
      <c r="AT61" s="17"/>
      <c r="AU61" s="22"/>
      <c r="AV61" s="21" t="str">
        <f aca="false">IF(OR($AU61="",$AI61=""),"",$AU61-$AI61)</f>
        <v/>
      </c>
      <c r="AW61" s="23" t="str">
        <f aca="false">IF(OR($AU61="",$AU61=0,$AV61=""),"",$AV61/$AU61)</f>
        <v/>
      </c>
      <c r="AX61" s="18"/>
      <c r="AY61" s="18"/>
      <c r="AZ61" s="18"/>
      <c r="BA61" s="18"/>
      <c r="BB61" s="18"/>
    </row>
    <row r="62" customFormat="false" ht="30" hidden="false" customHeight="true" outlineLevel="0" collapsed="false">
      <c r="A62" s="16"/>
      <c r="B62" s="16"/>
      <c r="C62" s="16"/>
      <c r="D62" s="17"/>
      <c r="E62" s="18"/>
      <c r="F62" s="18"/>
      <c r="G62" s="18"/>
      <c r="H62" s="18"/>
      <c r="I62" s="18"/>
      <c r="J62" s="18"/>
      <c r="K62" s="18"/>
      <c r="L62" s="18"/>
      <c r="M62" s="18"/>
      <c r="N62" s="19"/>
      <c r="O62" s="18"/>
      <c r="P62" s="19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9"/>
      <c r="AF62" s="20"/>
      <c r="AG62" s="21" t="str">
        <f aca="false">IF($AE62="","",$AE62*IF($AD62="GBP",1,IF($AF62&lt;&gt;"",$AF62,IFERROR(INDEX(SETTINGS!$W$29:$W$36,MATCH($AD62,SETTINGS!$V$29:$V$36,0)),1))))</f>
        <v/>
      </c>
      <c r="AH62" s="22"/>
      <c r="AI62" s="21" t="str">
        <f aca="false">IF(N($AG62)+N($AH62)=0,"",N($AG62)+N($AH62))</f>
        <v/>
      </c>
      <c r="AJ62" s="18"/>
      <c r="AK62" s="18"/>
      <c r="AL62" s="18"/>
      <c r="AM62" s="22"/>
      <c r="AN62" s="22"/>
      <c r="AO62" s="22"/>
      <c r="AP62" s="21" t="str">
        <f aca="false">IF(OR($AM62="",$AI62=""),"",$AM62-$AI62)</f>
        <v/>
      </c>
      <c r="AQ62" s="23" t="str">
        <f aca="false">IF(OR($AM62="",$AM62=0,$AP62=""),"",$AP62/$AM62)</f>
        <v/>
      </c>
      <c r="AR62" s="18"/>
      <c r="AS62" s="18"/>
      <c r="AT62" s="17"/>
      <c r="AU62" s="22"/>
      <c r="AV62" s="21" t="str">
        <f aca="false">IF(OR($AU62="",$AI62=""),"",$AU62-$AI62)</f>
        <v/>
      </c>
      <c r="AW62" s="23" t="str">
        <f aca="false">IF(OR($AU62="",$AU62=0,$AV62=""),"",$AV62/$AU62)</f>
        <v/>
      </c>
      <c r="AX62" s="18"/>
      <c r="AY62" s="18"/>
      <c r="AZ62" s="18"/>
      <c r="BA62" s="18"/>
      <c r="BB62" s="18"/>
    </row>
    <row r="63" customFormat="false" ht="30" hidden="false" customHeight="true" outlineLevel="0" collapsed="false">
      <c r="A63" s="16"/>
      <c r="B63" s="16"/>
      <c r="C63" s="16"/>
      <c r="D63" s="17"/>
      <c r="E63" s="18"/>
      <c r="F63" s="18"/>
      <c r="G63" s="18"/>
      <c r="H63" s="18"/>
      <c r="I63" s="18"/>
      <c r="J63" s="18"/>
      <c r="K63" s="18"/>
      <c r="L63" s="18"/>
      <c r="M63" s="18"/>
      <c r="N63" s="19"/>
      <c r="O63" s="18"/>
      <c r="P63" s="19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9"/>
      <c r="AF63" s="20"/>
      <c r="AG63" s="21" t="str">
        <f aca="false">IF($AE63="","",$AE63*IF($AD63="GBP",1,IF($AF63&lt;&gt;"",$AF63,IFERROR(INDEX(SETTINGS!$W$29:$W$36,MATCH($AD63,SETTINGS!$V$29:$V$36,0)),1))))</f>
        <v/>
      </c>
      <c r="AH63" s="22"/>
      <c r="AI63" s="21" t="str">
        <f aca="false">IF(N($AG63)+N($AH63)=0,"",N($AG63)+N($AH63))</f>
        <v/>
      </c>
      <c r="AJ63" s="18"/>
      <c r="AK63" s="18"/>
      <c r="AL63" s="18"/>
      <c r="AM63" s="22"/>
      <c r="AN63" s="22"/>
      <c r="AO63" s="22"/>
      <c r="AP63" s="21" t="str">
        <f aca="false">IF(OR($AM63="",$AI63=""),"",$AM63-$AI63)</f>
        <v/>
      </c>
      <c r="AQ63" s="23" t="str">
        <f aca="false">IF(OR($AM63="",$AM63=0,$AP63=""),"",$AP63/$AM63)</f>
        <v/>
      </c>
      <c r="AR63" s="18"/>
      <c r="AS63" s="18"/>
      <c r="AT63" s="17"/>
      <c r="AU63" s="22"/>
      <c r="AV63" s="21" t="str">
        <f aca="false">IF(OR($AU63="",$AI63=""),"",$AU63-$AI63)</f>
        <v/>
      </c>
      <c r="AW63" s="23" t="str">
        <f aca="false">IF(OR($AU63="",$AU63=0,$AV63=""),"",$AV63/$AU63)</f>
        <v/>
      </c>
      <c r="AX63" s="18"/>
      <c r="AY63" s="18"/>
      <c r="AZ63" s="18"/>
      <c r="BA63" s="18"/>
      <c r="BB63" s="18"/>
    </row>
  </sheetData>
  <sheetProtection sheet="true" password="c7e9" objects="true" scenarios="true" sort="false" autoFilter="false"/>
  <mergeCells count="2">
    <mergeCell ref="A1:BB1"/>
    <mergeCell ref="A2:BB2"/>
  </mergeCells>
  <conditionalFormatting sqref="A4:BB63">
    <cfRule type="expression" priority="2" aboveAverage="0" equalAverage="0" bottom="0" percent="0" rank="0" text="" dxfId="8">
      <formula>$AS4="Sold"</formula>
    </cfRule>
    <cfRule type="expression" priority="3" aboveAverage="0" equalAverage="0" bottom="0" percent="0" rank="0" text="" dxfId="9">
      <formula>$AS4="Reserved"</formula>
    </cfRule>
    <cfRule type="expression" priority="4" aboveAverage="0" equalAverage="0" bottom="0" percent="0" rank="0" text="" dxfId="0">
      <formula>OR($AS4="Lost/Missing",$AS4="Written Off")</formula>
    </cfRule>
  </conditionalFormatting>
  <conditionalFormatting sqref="AO4:AO63">
    <cfRule type="expression" priority="5" aboveAverage="0" equalAverage="0" bottom="0" percent="0" rank="0" text="" dxfId="0">
      <formula>AND($AO4&lt;&gt;"",$AN4&lt;&gt;"",$AO4&lt;$AN4)</formula>
    </cfRule>
  </conditionalFormatting>
  <conditionalFormatting sqref="AQ4:AQ63">
    <cfRule type="expression" priority="6" aboveAverage="0" equalAverage="0" bottom="0" percent="0" rank="0" text="" dxfId="10">
      <formula>AND($AQ4&lt;&gt;"",$AQ4&lt;0.1)</formula>
    </cfRule>
  </conditionalFormatting>
  <conditionalFormatting sqref="AI4:AI63">
    <cfRule type="expression" priority="7" aboveAverage="0" equalAverage="0" bottom="0" percent="0" rank="0" text="" dxfId="11">
      <formula>$AI4&gt;=5000</formula>
    </cfRule>
  </conditionalFormatting>
  <dataValidations count="16">
    <dataValidation allowBlank="true" errorStyle="stop" operator="between" showDropDown="false" showErrorMessage="false" showInputMessage="false" sqref="E4:E63" type="list">
      <formula1>SETTINGS!$D$5:$D$14</formula1>
      <formula2>0</formula2>
    </dataValidation>
    <dataValidation allowBlank="true" errorStyle="stop" operator="between" showDropDown="false" showErrorMessage="false" showInputMessage="false" sqref="F4:F63" type="list">
      <formula1>SETTINGS!$E$5:$E$16</formula1>
      <formula2>0</formula2>
    </dataValidation>
    <dataValidation allowBlank="true" errorStyle="stop" operator="between" showDropDown="false" showErrorMessage="false" showInputMessage="false" sqref="M4:M63" type="list">
      <formula1>SETTINGS!$T$5:$T$13</formula1>
      <formula2>0</formula2>
    </dataValidation>
    <dataValidation allowBlank="true" errorStyle="stop" operator="between" showDropDown="false" showErrorMessage="false" showInputMessage="false" sqref="W4:W63" type="list">
      <formula1>SETTINGS!$N$5:$N$6</formula1>
      <formula2>0</formula2>
    </dataValidation>
    <dataValidation allowBlank="true" errorStyle="stop" operator="between" showDropDown="false" showErrorMessage="false" showInputMessage="false" sqref="X4:X63" type="list">
      <formula1>SETTINGS!$N$5:$N$6</formula1>
      <formula2>0</formula2>
    </dataValidation>
    <dataValidation allowBlank="true" errorStyle="stop" operator="between" showDropDown="false" showErrorMessage="false" showInputMessage="false" sqref="Y4:Y63" type="list">
      <formula1>SETTINGS!$N$5:$N$6</formula1>
      <formula2>0</formula2>
    </dataValidation>
    <dataValidation allowBlank="true" errorStyle="stop" operator="between" showDropDown="false" showErrorMessage="false" showInputMessage="false" sqref="Z4:Z63" type="list">
      <formula1>SETTINGS!$M$5:$M$11</formula1>
      <formula2>0</formula2>
    </dataValidation>
    <dataValidation allowBlank="true" errorStyle="stop" operator="between" showDropDown="false" showErrorMessage="false" showInputMessage="false" sqref="AB4:AB63" type="list">
      <formula1>SETTINGS!$K$5:$K$12</formula1>
      <formula2>0</formula2>
    </dataValidation>
    <dataValidation allowBlank="true" errorStyle="stop" operator="between" showDropDown="false" showErrorMessage="false" showInputMessage="false" sqref="AJ4:AJ63" type="list">
      <formula1>SETTINGS!$L$5:$L$11</formula1>
      <formula2>0</formula2>
    </dataValidation>
    <dataValidation allowBlank="true" errorStyle="stop" operator="between" showDropDown="false" showErrorMessage="false" showInputMessage="false" sqref="AK4:AK63" type="list">
      <formula1>SETTINGS!$I$5:$I$11</formula1>
      <formula2>0</formula2>
    </dataValidation>
    <dataValidation allowBlank="true" errorStyle="stop" operator="between" showDropDown="false" showErrorMessage="false" showInputMessage="false" sqref="AR4:AR63" type="list">
      <formula1>SETTINGS!$C$5:$C$14</formula1>
      <formula2>0</formula2>
    </dataValidation>
    <dataValidation allowBlank="true" errorStyle="stop" operator="between" showDropDown="false" showErrorMessage="false" showInputMessage="false" sqref="AS4:AS63" type="list">
      <formula1>SETTINGS!$F$5:$F$15</formula1>
      <formula2>0</formula2>
    </dataValidation>
    <dataValidation allowBlank="true" errorStyle="stop" operator="between" showDropDown="false" showErrorMessage="false" showInputMessage="false" sqref="AX4:AX63" type="list">
      <formula1>SETTINGS!$B$5:$B$8</formula1>
      <formula2>0</formula2>
    </dataValidation>
    <dataValidation allowBlank="true" errorStyle="stop" operator="between" showDropDown="false" showErrorMessage="false" showInputMessage="false" sqref="AZ4:AZ63" type="list">
      <formula1>SETTINGS!$G$5:$G$11</formula1>
      <formula2>0</formula2>
    </dataValidation>
    <dataValidation allowBlank="true" errorStyle="stop" operator="between" showDropDown="false" showErrorMessage="false" showInputMessage="false" sqref="AD4:AD63" type="list">
      <formula1>SETTINGS!$V$29:$V$36</formula1>
      <formula2>0</formula2>
    </dataValidation>
    <dataValidation allowBlank="true" errorStyle="stop" operator="between" showDropDown="false" showErrorMessage="false" showInputMessage="false" sqref="U4:U63" type="list">
      <formula1>"Automatic,Manual,Quartz"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4" min="13" style="0" width="11"/>
    <col collapsed="false" customWidth="true" hidden="false" outlineLevel="0" max="16" min="15" style="0" width="17"/>
    <col collapsed="false" customWidth="true" hidden="false" outlineLevel="0" max="17" min="17" style="0" width="19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7"/>
    <col collapsed="false" customWidth="true" hidden="false" outlineLevel="0" max="21" min="21" style="0" width="16"/>
    <col collapsed="false" customWidth="true" hidden="false" outlineLevel="0" max="22" min="22" style="0" width="17"/>
    <col collapsed="false" customWidth="true" hidden="false" outlineLevel="0" max="23" min="23" style="0" width="11"/>
    <col collapsed="false" customWidth="true" hidden="false" outlineLevel="0" max="24" min="24" style="0" width="12"/>
    <col collapsed="false" customWidth="true" hidden="false" outlineLevel="0" max="25" min="25" style="0" width="11"/>
  </cols>
  <sheetData>
    <row r="1" customFormat="false" ht="30" hidden="false" customHeight="true" outlineLevel="0" collapsed="false">
      <c r="A1" s="1" t="s">
        <v>320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.75" hidden="false" customHeight="true" outlineLevel="0" collapsed="false">
      <c r="A2" s="2" t="s">
        <v>321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25.5" hidden="false" customHeight="true" outlineLevel="0" collapsed="false">
      <c r="A3" s="15" t="s">
        <v>169</v>
      </c>
      <c r="B3" s="15" t="s">
        <v>174</v>
      </c>
      <c r="C3" s="15" t="s">
        <v>175</v>
      </c>
      <c r="D3" s="15" t="s">
        <v>322</v>
      </c>
      <c r="E3" s="15" t="s">
        <v>177</v>
      </c>
      <c r="F3" s="15" t="s">
        <v>323</v>
      </c>
      <c r="G3" s="15" t="s">
        <v>324</v>
      </c>
      <c r="H3" s="15" t="s">
        <v>325</v>
      </c>
      <c r="I3" s="15" t="s">
        <v>326</v>
      </c>
      <c r="J3" s="15" t="s">
        <v>327</v>
      </c>
      <c r="K3" s="15" t="s">
        <v>328</v>
      </c>
      <c r="L3" s="15" t="s">
        <v>329</v>
      </c>
      <c r="M3" s="15" t="s">
        <v>330</v>
      </c>
      <c r="N3" s="15" t="s">
        <v>331</v>
      </c>
      <c r="O3" s="15" t="s">
        <v>332</v>
      </c>
      <c r="P3" s="15" t="s">
        <v>333</v>
      </c>
      <c r="Q3" s="15" t="s">
        <v>334</v>
      </c>
      <c r="R3" s="15" t="s">
        <v>335</v>
      </c>
      <c r="S3" s="15" t="s">
        <v>193</v>
      </c>
      <c r="T3" s="15" t="s">
        <v>336</v>
      </c>
      <c r="U3" s="15" t="s">
        <v>337</v>
      </c>
      <c r="V3" s="15" t="s">
        <v>338</v>
      </c>
      <c r="W3" s="15" t="s">
        <v>339</v>
      </c>
      <c r="X3" s="15" t="s">
        <v>340</v>
      </c>
      <c r="Y3" s="15" t="s">
        <v>221</v>
      </c>
    </row>
    <row r="4" customFormat="false" ht="15" hidden="false" customHeight="false" outlineLevel="0" collapsed="false">
      <c r="A4" s="18" t="s">
        <v>222</v>
      </c>
      <c r="B4" s="24" t="str">
        <f aca="false">IF($A4="","",IFERROR(INDEX('INVENTORY MASTER'!$G$4:$G$63,MATCH($A4,'INVENTORY MASTER'!$A$4:$A$63,0)),""))</f>
        <v>Rolex</v>
      </c>
      <c r="C4" s="24" t="str">
        <f aca="false">IF($A4="","",IFERROR(INDEX('INVENTORY MASTER'!$H$4:$H$63,MATCH($A4,'INVENTORY MASTER'!$A$4:$A$63,0)),""))</f>
        <v>Submariner</v>
      </c>
      <c r="D4" s="24" t="str">
        <f aca="false">IF($A4="","",IFERROR(INDEX('INVENTORY MASTER'!$I$4:$I$63,MATCH($A4,'INVENTORY MASTER'!$A$4:$A$63,0)),""))</f>
        <v>126610LN</v>
      </c>
      <c r="E4" s="24" t="str">
        <f aca="false">IF($A4="","",IFERROR(INDEX('INVENTORY MASTER'!$J$4:$J$63,MATCH($A4,'INVENTORY MASTER'!$A$4:$A$63,0)),""))</f>
        <v>ROL123456</v>
      </c>
      <c r="F4" s="24" t="n">
        <f aca="false">IF($A4="","",IFERROR(INDEX('INVENTORY MASTER'!$V$4:$V$63,MATCH($A4,'INVENTORY MASTER'!$A$4:$A$63,0)),""))</f>
        <v>2022</v>
      </c>
      <c r="G4" s="24" t="str">
        <f aca="false">IF($A4="","",IFERROR(INDEX('INVENTORY MASTER'!$T$4:$T$63,MATCH($A4,'INVENTORY MASTER'!$A$4:$A$63,0)),""))</f>
        <v>41mm</v>
      </c>
      <c r="H4" s="18"/>
      <c r="I4" s="18"/>
      <c r="J4" s="18"/>
      <c r="K4" s="24" t="str">
        <f aca="false">IF($A4="","",IFERROR(INDEX('INVENTORY MASTER'!$U$4:$U$63,MATCH($A4,'INVENTORY MASTER'!$A$4:$A$63,0)),""))</f>
        <v>Automatic</v>
      </c>
      <c r="L4" s="24" t="str">
        <f aca="false">IF($A4="","",IFERROR(INDEX('INVENTORY MASTER'!$U$4:$U$63,MATCH($A4,'INVENTORY MASTER'!$A$4:$A$63,0)),""))</f>
        <v>Automatic</v>
      </c>
      <c r="M4" s="24" t="str">
        <f aca="false">IF($A4="","",IFERROR(INDEX('INVENTORY MASTER'!$W$4:$W$63,MATCH($A4,'INVENTORY MASTER'!$A$4:$A$63,0)),""))</f>
        <v>Yes</v>
      </c>
      <c r="N4" s="24" t="str">
        <f aca="false">IF($A4="","",IFERROR(INDEX('INVENTORY MASTER'!$X$4:$X$63,MATCH($A4,'INVENTORY MASTER'!$A$4:$A$63,0)),""))</f>
        <v>Yes</v>
      </c>
      <c r="O4" s="24" t="str">
        <f aca="false">IF($A4="","",IFERROR(INDEX('INVENTORY MASTER'!$Y$4:$Y$63,MATCH($A4,'INVENTORY MASTER'!$A$4:$A$63,0)),""))</f>
        <v>Yes</v>
      </c>
      <c r="P4" s="17"/>
      <c r="Q4" s="18"/>
      <c r="R4" s="17"/>
      <c r="S4" s="24" t="str">
        <f aca="false">IF($A4="","",IFERROR(INDEX('INVENTORY MASTER'!$Z$4:$Z$63,MATCH($A4,'INVENTORY MASTER'!$A$4:$A$63,0)),""))</f>
        <v>Excellent</v>
      </c>
      <c r="T4" s="21" t="n">
        <f aca="false">IF($A4="","",IFERROR(INDEX('INVENTORY MASTER'!$AI$4:$AI$63,MATCH($A4,'INVENTORY MASTER'!$A$4:$A$63,0)),""))</f>
        <v>8100</v>
      </c>
      <c r="U4" s="21" t="n">
        <f aca="false">IF($A4="","",IFERROR(INDEX('INVENTORY MASTER'!$AM$4:$AM$63,MATCH($A4,'INVENTORY MASTER'!$A$4:$A$63,0)),""))</f>
        <v>10500</v>
      </c>
      <c r="V4" s="21" t="n">
        <f aca="false">IF($A4="","",IFERROR(INDEX('INVENTORY MASTER'!$AO$4:$AO$63,MATCH($A4,'INVENTORY MASTER'!$A$4:$A$63,0)),""))</f>
        <v>10500</v>
      </c>
      <c r="W4" s="24" t="str">
        <f aca="false">IF($A4="","",IFERROR(INDEX('INVENTORY MASTER'!$AS$4:$AS$63,MATCH($A4,'INVENTORY MASTER'!$A$4:$A$63,0)),""))</f>
        <v>Sold</v>
      </c>
      <c r="X4" s="24" t="str">
        <f aca="false">IF($A4="","",IFERROR(INDEX('INVENTORY MASTER'!$AR$4:$AR$63,MATCH($A4,'INVENTORY MASTER'!$A$4:$A$63,0)),""))</f>
        <v>Shop Safe</v>
      </c>
      <c r="Y4" s="18"/>
    </row>
    <row r="5" customFormat="false" ht="15" hidden="false" customHeight="false" outlineLevel="0" collapsed="false">
      <c r="A5" s="18" t="s">
        <v>266</v>
      </c>
      <c r="B5" s="24" t="str">
        <f aca="false">IF($A5="","",IFERROR(INDEX('INVENTORY MASTER'!$G$4:$G$63,MATCH($A5,'INVENTORY MASTER'!$A$4:$A$63,0)),""))</f>
        <v>Omega</v>
      </c>
      <c r="C5" s="24" t="str">
        <f aca="false">IF($A5="","",IFERROR(INDEX('INVENTORY MASTER'!$H$4:$H$63,MATCH($A5,'INVENTORY MASTER'!$A$4:$A$63,0)),""))</f>
        <v>Speedmaster</v>
      </c>
      <c r="D5" s="24" t="str">
        <f aca="false">IF($A5="","",IFERROR(INDEX('INVENTORY MASTER'!$I$4:$I$63,MATCH($A5,'INVENTORY MASTER'!$A$4:$A$63,0)),""))</f>
        <v>310.30.42</v>
      </c>
      <c r="E5" s="24" t="str">
        <f aca="false">IF($A5="","",IFERROR(INDEX('INVENTORY MASTER'!$J$4:$J$63,MATCH($A5,'INVENTORY MASTER'!$A$4:$A$63,0)),""))</f>
        <v>OMG789012</v>
      </c>
      <c r="F5" s="24" t="n">
        <f aca="false">IF($A5="","",IFERROR(INDEX('INVENTORY MASTER'!$V$4:$V$63,MATCH($A5,'INVENTORY MASTER'!$A$4:$A$63,0)),""))</f>
        <v>2023</v>
      </c>
      <c r="G5" s="24" t="str">
        <f aca="false">IF($A5="","",IFERROR(INDEX('INVENTORY MASTER'!$T$4:$T$63,MATCH($A5,'INVENTORY MASTER'!$A$4:$A$63,0)),""))</f>
        <v>42mm</v>
      </c>
      <c r="H5" s="18"/>
      <c r="I5" s="18"/>
      <c r="J5" s="18"/>
      <c r="K5" s="24" t="str">
        <f aca="false">IF($A5="","",IFERROR(INDEX('INVENTORY MASTER'!$U$4:$U$63,MATCH($A5,'INVENTORY MASTER'!$A$4:$A$63,0)),""))</f>
        <v>Manual</v>
      </c>
      <c r="L5" s="24" t="str">
        <f aca="false">IF($A5="","",IFERROR(INDEX('INVENTORY MASTER'!$U$4:$U$63,MATCH($A5,'INVENTORY MASTER'!$A$4:$A$63,0)),""))</f>
        <v>Manual</v>
      </c>
      <c r="M5" s="24" t="str">
        <f aca="false">IF($A5="","",IFERROR(INDEX('INVENTORY MASTER'!$W$4:$W$63,MATCH($A5,'INVENTORY MASTER'!$A$4:$A$63,0)),""))</f>
        <v>Yes</v>
      </c>
      <c r="N5" s="24" t="str">
        <f aca="false">IF($A5="","",IFERROR(INDEX('INVENTORY MASTER'!$X$4:$X$63,MATCH($A5,'INVENTORY MASTER'!$A$4:$A$63,0)),""))</f>
        <v>No</v>
      </c>
      <c r="O5" s="24" t="str">
        <f aca="false">IF($A5="","",IFERROR(INDEX('INVENTORY MASTER'!$Y$4:$Y$63,MATCH($A5,'INVENTORY MASTER'!$A$4:$A$63,0)),""))</f>
        <v>No</v>
      </c>
      <c r="P5" s="17"/>
      <c r="Q5" s="18"/>
      <c r="R5" s="17"/>
      <c r="S5" s="24" t="str">
        <f aca="false">IF($A5="","",IFERROR(INDEX('INVENTORY MASTER'!$Z$4:$Z$63,MATCH($A5,'INVENTORY MASTER'!$A$4:$A$63,0)),""))</f>
        <v>Very Good</v>
      </c>
      <c r="T5" s="21" t="n">
        <f aca="false">IF($A5="","",IFERROR(INDEX('INVENTORY MASTER'!$AI$4:$AI$63,MATCH($A5,'INVENTORY MASTER'!$A$4:$A$63,0)),""))</f>
        <v>3200</v>
      </c>
      <c r="U5" s="21" t="n">
        <f aca="false">IF($A5="","",IFERROR(INDEX('INVENTORY MASTER'!$AM$4:$AM$63,MATCH($A5,'INVENTORY MASTER'!$A$4:$A$63,0)),""))</f>
        <v>4500</v>
      </c>
      <c r="V5" s="21" t="n">
        <f aca="false">IF($A5="","",IFERROR(INDEX('INVENTORY MASTER'!$AO$4:$AO$63,MATCH($A5,'INVENTORY MASTER'!$A$4:$A$63,0)),""))</f>
        <v>4500</v>
      </c>
      <c r="W5" s="24" t="str">
        <f aca="false">IF($A5="","",IFERROR(INDEX('INVENTORY MASTER'!$AS$4:$AS$63,MATCH($A5,'INVENTORY MASTER'!$A$4:$A$63,0)),""))</f>
        <v>Available</v>
      </c>
      <c r="X5" s="24" t="str">
        <f aca="false">IF($A5="","",IFERROR(INDEX('INVENTORY MASTER'!$AR$4:$AR$63,MATCH($A5,'INVENTORY MASTER'!$A$4:$A$63,0)),""))</f>
        <v>Shop Display</v>
      </c>
      <c r="Y5" s="18"/>
    </row>
    <row r="6" customFormat="false" ht="15" hidden="false" customHeight="false" outlineLevel="0" collapsed="false">
      <c r="A6" s="18" t="s">
        <v>296</v>
      </c>
      <c r="B6" s="24" t="str">
        <f aca="false">IF($A6="","",IFERROR(INDEX('INVENTORY MASTER'!$G$4:$G$63,MATCH($A6,'INVENTORY MASTER'!$A$4:$A$63,0)),""))</f>
        <v>Cartier</v>
      </c>
      <c r="C6" s="24" t="str">
        <f aca="false">IF($A6="","",IFERROR(INDEX('INVENTORY MASTER'!$H$4:$H$63,MATCH($A6,'INVENTORY MASTER'!$A$4:$A$63,0)),""))</f>
        <v>Santos</v>
      </c>
      <c r="D6" s="24" t="str">
        <f aca="false">IF($A6="","",IFERROR(INDEX('INVENTORY MASTER'!$I$4:$I$63,MATCH($A6,'INVENTORY MASTER'!$A$4:$A$63,0)),""))</f>
        <v>WSSA0018</v>
      </c>
      <c r="E6" s="24" t="str">
        <f aca="false">IF($A6="","",IFERROR(INDEX('INVENTORY MASTER'!$J$4:$J$63,MATCH($A6,'INVENTORY MASTER'!$A$4:$A$63,0)),""))</f>
        <v>CAR334455</v>
      </c>
      <c r="F6" s="24" t="n">
        <f aca="false">IF($A6="","",IFERROR(INDEX('INVENTORY MASTER'!$V$4:$V$63,MATCH($A6,'INVENTORY MASTER'!$A$4:$A$63,0)),""))</f>
        <v>2021</v>
      </c>
      <c r="G6" s="24" t="str">
        <f aca="false">IF($A6="","",IFERROR(INDEX('INVENTORY MASTER'!$T$4:$T$63,MATCH($A6,'INVENTORY MASTER'!$A$4:$A$63,0)),""))</f>
        <v>35mm</v>
      </c>
      <c r="H6" s="18"/>
      <c r="I6" s="18"/>
      <c r="J6" s="18"/>
      <c r="K6" s="24" t="str">
        <f aca="false">IF($A6="","",IFERROR(INDEX('INVENTORY MASTER'!$U$4:$U$63,MATCH($A6,'INVENTORY MASTER'!$A$4:$A$63,0)),""))</f>
        <v>Automatic</v>
      </c>
      <c r="L6" s="24" t="str">
        <f aca="false">IF($A6="","",IFERROR(INDEX('INVENTORY MASTER'!$U$4:$U$63,MATCH($A6,'INVENTORY MASTER'!$A$4:$A$63,0)),""))</f>
        <v>Automatic</v>
      </c>
      <c r="M6" s="24" t="str">
        <f aca="false">IF($A6="","",IFERROR(INDEX('INVENTORY MASTER'!$W$4:$W$63,MATCH($A6,'INVENTORY MASTER'!$A$4:$A$63,0)),""))</f>
        <v>Yes</v>
      </c>
      <c r="N6" s="24" t="str">
        <f aca="false">IF($A6="","",IFERROR(INDEX('INVENTORY MASTER'!$X$4:$X$63,MATCH($A6,'INVENTORY MASTER'!$A$4:$A$63,0)),""))</f>
        <v>Yes</v>
      </c>
      <c r="O6" s="24" t="str">
        <f aca="false">IF($A6="","",IFERROR(INDEX('INVENTORY MASTER'!$Y$4:$Y$63,MATCH($A6,'INVENTORY MASTER'!$A$4:$A$63,0)),""))</f>
        <v>Yes</v>
      </c>
      <c r="P6" s="17"/>
      <c r="Q6" s="18"/>
      <c r="R6" s="17"/>
      <c r="S6" s="24" t="str">
        <f aca="false">IF($A6="","",IFERROR(INDEX('INVENTORY MASTER'!$Z$4:$Z$63,MATCH($A6,'INVENTORY MASTER'!$A$4:$A$63,0)),""))</f>
        <v>Excellent</v>
      </c>
      <c r="T6" s="21" t="n">
        <f aca="false">IF($A6="","",IFERROR(INDEX('INVENTORY MASTER'!$AI$4:$AI$63,MATCH($A6,'INVENTORY MASTER'!$A$4:$A$63,0)),""))</f>
        <v>4790</v>
      </c>
      <c r="U6" s="21" t="n">
        <f aca="false">IF($A6="","",IFERROR(INDEX('INVENTORY MASTER'!$AM$4:$AM$63,MATCH($A6,'INVENTORY MASTER'!$A$4:$A$63,0)),""))</f>
        <v>6500</v>
      </c>
      <c r="V6" s="21" t="n">
        <f aca="false">IF($A6="","",IFERROR(INDEX('INVENTORY MASTER'!$AO$4:$AO$63,MATCH($A6,'INVENTORY MASTER'!$A$4:$A$63,0)),""))</f>
        <v>6500</v>
      </c>
      <c r="W6" s="24" t="str">
        <f aca="false">IF($A6="","",IFERROR(INDEX('INVENTORY MASTER'!$AS$4:$AS$63,MATCH($A6,'INVENTORY MASTER'!$A$4:$A$63,0)),""))</f>
        <v>With Partner</v>
      </c>
      <c r="X6" s="24" t="str">
        <f aca="false">IF($A6="","",IFERROR(INDEX('INVENTORY MASTER'!$AR$4:$AR$63,MATCH($A6,'INVENTORY MASTER'!$A$4:$A$63,0)),""))</f>
        <v>Partner 3</v>
      </c>
      <c r="Y6" s="18"/>
    </row>
    <row r="7" customFormat="false" ht="15" hidden="false" customHeight="false" outlineLevel="0" collapsed="false">
      <c r="A7" s="18"/>
      <c r="B7" s="24" t="str">
        <f aca="false">IF($A7="","",IFERROR(INDEX('INVENTORY MASTER'!$G$4:$G$63,MATCH($A7,'INVENTORY MASTER'!$A$4:$A$63,0)),""))</f>
        <v/>
      </c>
      <c r="C7" s="24" t="str">
        <f aca="false">IF($A7="","",IFERROR(INDEX('INVENTORY MASTER'!$H$4:$H$63,MATCH($A7,'INVENTORY MASTER'!$A$4:$A$63,0)),""))</f>
        <v/>
      </c>
      <c r="D7" s="24" t="str">
        <f aca="false">IF($A7="","",IFERROR(INDEX('INVENTORY MASTER'!$I$4:$I$63,MATCH($A7,'INVENTORY MASTER'!$A$4:$A$63,0)),""))</f>
        <v/>
      </c>
      <c r="E7" s="24" t="str">
        <f aca="false">IF($A7="","",IFERROR(INDEX('INVENTORY MASTER'!$J$4:$J$63,MATCH($A7,'INVENTORY MASTER'!$A$4:$A$63,0)),""))</f>
        <v/>
      </c>
      <c r="F7" s="24" t="str">
        <f aca="false">IF($A7="","",IFERROR(INDEX('INVENTORY MASTER'!$V$4:$V$63,MATCH($A7,'INVENTORY MASTER'!$A$4:$A$63,0)),""))</f>
        <v/>
      </c>
      <c r="G7" s="24" t="str">
        <f aca="false">IF($A7="","",IFERROR(INDEX('INVENTORY MASTER'!$T$4:$T$63,MATCH($A7,'INVENTORY MASTER'!$A$4:$A$63,0)),""))</f>
        <v/>
      </c>
      <c r="H7" s="18"/>
      <c r="I7" s="18"/>
      <c r="J7" s="18"/>
      <c r="K7" s="24" t="str">
        <f aca="false">IF($A7="","",IFERROR(INDEX('INVENTORY MASTER'!$U$4:$U$63,MATCH($A7,'INVENTORY MASTER'!$A$4:$A$63,0)),""))</f>
        <v/>
      </c>
      <c r="L7" s="24" t="str">
        <f aca="false">IF($A7="","",IFERROR(INDEX('INVENTORY MASTER'!$U$4:$U$63,MATCH($A7,'INVENTORY MASTER'!$A$4:$A$63,0)),""))</f>
        <v/>
      </c>
      <c r="M7" s="24" t="str">
        <f aca="false">IF($A7="","",IFERROR(INDEX('INVENTORY MASTER'!$W$4:$W$63,MATCH($A7,'INVENTORY MASTER'!$A$4:$A$63,0)),""))</f>
        <v/>
      </c>
      <c r="N7" s="24" t="str">
        <f aca="false">IF($A7="","",IFERROR(INDEX('INVENTORY MASTER'!$X$4:$X$63,MATCH($A7,'INVENTORY MASTER'!$A$4:$A$63,0)),""))</f>
        <v/>
      </c>
      <c r="O7" s="24" t="str">
        <f aca="false">IF($A7="","",IFERROR(INDEX('INVENTORY MASTER'!$Y$4:$Y$63,MATCH($A7,'INVENTORY MASTER'!$A$4:$A$63,0)),""))</f>
        <v/>
      </c>
      <c r="P7" s="17"/>
      <c r="Q7" s="18"/>
      <c r="R7" s="17"/>
      <c r="S7" s="24" t="str">
        <f aca="false">IF($A7="","",IFERROR(INDEX('INVENTORY MASTER'!$Z$4:$Z$63,MATCH($A7,'INVENTORY MASTER'!$A$4:$A$63,0)),""))</f>
        <v/>
      </c>
      <c r="T7" s="21" t="str">
        <f aca="false">IF($A7="","",IFERROR(INDEX('INVENTORY MASTER'!$AI$4:$AI$63,MATCH($A7,'INVENTORY MASTER'!$A$4:$A$63,0)),""))</f>
        <v/>
      </c>
      <c r="U7" s="21" t="str">
        <f aca="false">IF($A7="","",IFERROR(INDEX('INVENTORY MASTER'!$AM$4:$AM$63,MATCH($A7,'INVENTORY MASTER'!$A$4:$A$63,0)),""))</f>
        <v/>
      </c>
      <c r="V7" s="21" t="str">
        <f aca="false">IF($A7="","",IFERROR(INDEX('INVENTORY MASTER'!$AO$4:$AO$63,MATCH($A7,'INVENTORY MASTER'!$A$4:$A$63,0)),""))</f>
        <v/>
      </c>
      <c r="W7" s="24" t="str">
        <f aca="false">IF($A7="","",IFERROR(INDEX('INVENTORY MASTER'!$AS$4:$AS$63,MATCH($A7,'INVENTORY MASTER'!$A$4:$A$63,0)),""))</f>
        <v/>
      </c>
      <c r="X7" s="24" t="str">
        <f aca="false">IF($A7="","",IFERROR(INDEX('INVENTORY MASTER'!$AR$4:$AR$63,MATCH($A7,'INVENTORY MASTER'!$A$4:$A$63,0)),""))</f>
        <v/>
      </c>
      <c r="Y7" s="18"/>
    </row>
    <row r="8" customFormat="false" ht="15" hidden="false" customHeight="false" outlineLevel="0" collapsed="false">
      <c r="A8" s="18"/>
      <c r="B8" s="24" t="str">
        <f aca="false">IF($A8="","",IFERROR(INDEX('INVENTORY MASTER'!$G$4:$G$63,MATCH($A8,'INVENTORY MASTER'!$A$4:$A$63,0)),""))</f>
        <v/>
      </c>
      <c r="C8" s="24" t="str">
        <f aca="false">IF($A8="","",IFERROR(INDEX('INVENTORY MASTER'!$H$4:$H$63,MATCH($A8,'INVENTORY MASTER'!$A$4:$A$63,0)),""))</f>
        <v/>
      </c>
      <c r="D8" s="24" t="str">
        <f aca="false">IF($A8="","",IFERROR(INDEX('INVENTORY MASTER'!$I$4:$I$63,MATCH($A8,'INVENTORY MASTER'!$A$4:$A$63,0)),""))</f>
        <v/>
      </c>
      <c r="E8" s="24" t="str">
        <f aca="false">IF($A8="","",IFERROR(INDEX('INVENTORY MASTER'!$J$4:$J$63,MATCH($A8,'INVENTORY MASTER'!$A$4:$A$63,0)),""))</f>
        <v/>
      </c>
      <c r="F8" s="24" t="str">
        <f aca="false">IF($A8="","",IFERROR(INDEX('INVENTORY MASTER'!$V$4:$V$63,MATCH($A8,'INVENTORY MASTER'!$A$4:$A$63,0)),""))</f>
        <v/>
      </c>
      <c r="G8" s="24" t="str">
        <f aca="false">IF($A8="","",IFERROR(INDEX('INVENTORY MASTER'!$T$4:$T$63,MATCH($A8,'INVENTORY MASTER'!$A$4:$A$63,0)),""))</f>
        <v/>
      </c>
      <c r="H8" s="18"/>
      <c r="I8" s="18"/>
      <c r="J8" s="18"/>
      <c r="K8" s="24" t="str">
        <f aca="false">IF($A8="","",IFERROR(INDEX('INVENTORY MASTER'!$U$4:$U$63,MATCH($A8,'INVENTORY MASTER'!$A$4:$A$63,0)),""))</f>
        <v/>
      </c>
      <c r="L8" s="24" t="str">
        <f aca="false">IF($A8="","",IFERROR(INDEX('INVENTORY MASTER'!$U$4:$U$63,MATCH($A8,'INVENTORY MASTER'!$A$4:$A$63,0)),""))</f>
        <v/>
      </c>
      <c r="M8" s="24" t="str">
        <f aca="false">IF($A8="","",IFERROR(INDEX('INVENTORY MASTER'!$W$4:$W$63,MATCH($A8,'INVENTORY MASTER'!$A$4:$A$63,0)),""))</f>
        <v/>
      </c>
      <c r="N8" s="24" t="str">
        <f aca="false">IF($A8="","",IFERROR(INDEX('INVENTORY MASTER'!$X$4:$X$63,MATCH($A8,'INVENTORY MASTER'!$A$4:$A$63,0)),""))</f>
        <v/>
      </c>
      <c r="O8" s="24" t="str">
        <f aca="false">IF($A8="","",IFERROR(INDEX('INVENTORY MASTER'!$Y$4:$Y$63,MATCH($A8,'INVENTORY MASTER'!$A$4:$A$63,0)),""))</f>
        <v/>
      </c>
      <c r="P8" s="17"/>
      <c r="Q8" s="18"/>
      <c r="R8" s="17"/>
      <c r="S8" s="24" t="str">
        <f aca="false">IF($A8="","",IFERROR(INDEX('INVENTORY MASTER'!$Z$4:$Z$63,MATCH($A8,'INVENTORY MASTER'!$A$4:$A$63,0)),""))</f>
        <v/>
      </c>
      <c r="T8" s="21" t="str">
        <f aca="false">IF($A8="","",IFERROR(INDEX('INVENTORY MASTER'!$AI$4:$AI$63,MATCH($A8,'INVENTORY MASTER'!$A$4:$A$63,0)),""))</f>
        <v/>
      </c>
      <c r="U8" s="21" t="str">
        <f aca="false">IF($A8="","",IFERROR(INDEX('INVENTORY MASTER'!$AM$4:$AM$63,MATCH($A8,'INVENTORY MASTER'!$A$4:$A$63,0)),""))</f>
        <v/>
      </c>
      <c r="V8" s="21" t="str">
        <f aca="false">IF($A8="","",IFERROR(INDEX('INVENTORY MASTER'!$AO$4:$AO$63,MATCH($A8,'INVENTORY MASTER'!$A$4:$A$63,0)),""))</f>
        <v/>
      </c>
      <c r="W8" s="24" t="str">
        <f aca="false">IF($A8="","",IFERROR(INDEX('INVENTORY MASTER'!$AS$4:$AS$63,MATCH($A8,'INVENTORY MASTER'!$A$4:$A$63,0)),""))</f>
        <v/>
      </c>
      <c r="X8" s="24" t="str">
        <f aca="false">IF($A8="","",IFERROR(INDEX('INVENTORY MASTER'!$AR$4:$AR$63,MATCH($A8,'INVENTORY MASTER'!$A$4:$A$63,0)),""))</f>
        <v/>
      </c>
      <c r="Y8" s="18"/>
    </row>
    <row r="9" customFormat="false" ht="15" hidden="false" customHeight="false" outlineLevel="0" collapsed="false">
      <c r="A9" s="18"/>
      <c r="B9" s="24" t="str">
        <f aca="false">IF($A9="","",IFERROR(INDEX('INVENTORY MASTER'!$G$4:$G$63,MATCH($A9,'INVENTORY MASTER'!$A$4:$A$63,0)),""))</f>
        <v/>
      </c>
      <c r="C9" s="24" t="str">
        <f aca="false">IF($A9="","",IFERROR(INDEX('INVENTORY MASTER'!$H$4:$H$63,MATCH($A9,'INVENTORY MASTER'!$A$4:$A$63,0)),""))</f>
        <v/>
      </c>
      <c r="D9" s="24" t="str">
        <f aca="false">IF($A9="","",IFERROR(INDEX('INVENTORY MASTER'!$I$4:$I$63,MATCH($A9,'INVENTORY MASTER'!$A$4:$A$63,0)),""))</f>
        <v/>
      </c>
      <c r="E9" s="24" t="str">
        <f aca="false">IF($A9="","",IFERROR(INDEX('INVENTORY MASTER'!$J$4:$J$63,MATCH($A9,'INVENTORY MASTER'!$A$4:$A$63,0)),""))</f>
        <v/>
      </c>
      <c r="F9" s="24" t="str">
        <f aca="false">IF($A9="","",IFERROR(INDEX('INVENTORY MASTER'!$V$4:$V$63,MATCH($A9,'INVENTORY MASTER'!$A$4:$A$63,0)),""))</f>
        <v/>
      </c>
      <c r="G9" s="24" t="str">
        <f aca="false">IF($A9="","",IFERROR(INDEX('INVENTORY MASTER'!$T$4:$T$63,MATCH($A9,'INVENTORY MASTER'!$A$4:$A$63,0)),""))</f>
        <v/>
      </c>
      <c r="H9" s="18"/>
      <c r="I9" s="18"/>
      <c r="J9" s="18"/>
      <c r="K9" s="24" t="str">
        <f aca="false">IF($A9="","",IFERROR(INDEX('INVENTORY MASTER'!$U$4:$U$63,MATCH($A9,'INVENTORY MASTER'!$A$4:$A$63,0)),""))</f>
        <v/>
      </c>
      <c r="L9" s="24" t="str">
        <f aca="false">IF($A9="","",IFERROR(INDEX('INVENTORY MASTER'!$U$4:$U$63,MATCH($A9,'INVENTORY MASTER'!$A$4:$A$63,0)),""))</f>
        <v/>
      </c>
      <c r="M9" s="24" t="str">
        <f aca="false">IF($A9="","",IFERROR(INDEX('INVENTORY MASTER'!$W$4:$W$63,MATCH($A9,'INVENTORY MASTER'!$A$4:$A$63,0)),""))</f>
        <v/>
      </c>
      <c r="N9" s="24" t="str">
        <f aca="false">IF($A9="","",IFERROR(INDEX('INVENTORY MASTER'!$X$4:$X$63,MATCH($A9,'INVENTORY MASTER'!$A$4:$A$63,0)),""))</f>
        <v/>
      </c>
      <c r="O9" s="24" t="str">
        <f aca="false">IF($A9="","",IFERROR(INDEX('INVENTORY MASTER'!$Y$4:$Y$63,MATCH($A9,'INVENTORY MASTER'!$A$4:$A$63,0)),""))</f>
        <v/>
      </c>
      <c r="P9" s="17"/>
      <c r="Q9" s="18"/>
      <c r="R9" s="17"/>
      <c r="S9" s="24" t="str">
        <f aca="false">IF($A9="","",IFERROR(INDEX('INVENTORY MASTER'!$Z$4:$Z$63,MATCH($A9,'INVENTORY MASTER'!$A$4:$A$63,0)),""))</f>
        <v/>
      </c>
      <c r="T9" s="21" t="str">
        <f aca="false">IF($A9="","",IFERROR(INDEX('INVENTORY MASTER'!$AI$4:$AI$63,MATCH($A9,'INVENTORY MASTER'!$A$4:$A$63,0)),""))</f>
        <v/>
      </c>
      <c r="U9" s="21" t="str">
        <f aca="false">IF($A9="","",IFERROR(INDEX('INVENTORY MASTER'!$AM$4:$AM$63,MATCH($A9,'INVENTORY MASTER'!$A$4:$A$63,0)),""))</f>
        <v/>
      </c>
      <c r="V9" s="21" t="str">
        <f aca="false">IF($A9="","",IFERROR(INDEX('INVENTORY MASTER'!$AO$4:$AO$63,MATCH($A9,'INVENTORY MASTER'!$A$4:$A$63,0)),""))</f>
        <v/>
      </c>
      <c r="W9" s="24" t="str">
        <f aca="false">IF($A9="","",IFERROR(INDEX('INVENTORY MASTER'!$AS$4:$AS$63,MATCH($A9,'INVENTORY MASTER'!$A$4:$A$63,0)),""))</f>
        <v/>
      </c>
      <c r="X9" s="24" t="str">
        <f aca="false">IF($A9="","",IFERROR(INDEX('INVENTORY MASTER'!$AR$4:$AR$63,MATCH($A9,'INVENTORY MASTER'!$A$4:$A$63,0)),""))</f>
        <v/>
      </c>
      <c r="Y9" s="18"/>
    </row>
    <row r="10" customFormat="false" ht="15" hidden="false" customHeight="false" outlineLevel="0" collapsed="false">
      <c r="A10" s="18"/>
      <c r="B10" s="24" t="str">
        <f aca="false">IF($A10="","",IFERROR(INDEX('INVENTORY MASTER'!$G$4:$G$63,MATCH($A10,'INVENTORY MASTER'!$A$4:$A$63,0)),""))</f>
        <v/>
      </c>
      <c r="C10" s="24" t="str">
        <f aca="false">IF($A10="","",IFERROR(INDEX('INVENTORY MASTER'!$H$4:$H$63,MATCH($A10,'INVENTORY MASTER'!$A$4:$A$63,0)),""))</f>
        <v/>
      </c>
      <c r="D10" s="24" t="str">
        <f aca="false">IF($A10="","",IFERROR(INDEX('INVENTORY MASTER'!$I$4:$I$63,MATCH($A10,'INVENTORY MASTER'!$A$4:$A$63,0)),""))</f>
        <v/>
      </c>
      <c r="E10" s="24" t="str">
        <f aca="false">IF($A10="","",IFERROR(INDEX('INVENTORY MASTER'!$J$4:$J$63,MATCH($A10,'INVENTORY MASTER'!$A$4:$A$63,0)),""))</f>
        <v/>
      </c>
      <c r="F10" s="24" t="str">
        <f aca="false">IF($A10="","",IFERROR(INDEX('INVENTORY MASTER'!$V$4:$V$63,MATCH($A10,'INVENTORY MASTER'!$A$4:$A$63,0)),""))</f>
        <v/>
      </c>
      <c r="G10" s="24" t="str">
        <f aca="false">IF($A10="","",IFERROR(INDEX('INVENTORY MASTER'!$T$4:$T$63,MATCH($A10,'INVENTORY MASTER'!$A$4:$A$63,0)),""))</f>
        <v/>
      </c>
      <c r="H10" s="18"/>
      <c r="I10" s="18"/>
      <c r="J10" s="18"/>
      <c r="K10" s="24" t="str">
        <f aca="false">IF($A10="","",IFERROR(INDEX('INVENTORY MASTER'!$U$4:$U$63,MATCH($A10,'INVENTORY MASTER'!$A$4:$A$63,0)),""))</f>
        <v/>
      </c>
      <c r="L10" s="24" t="str">
        <f aca="false">IF($A10="","",IFERROR(INDEX('INVENTORY MASTER'!$U$4:$U$63,MATCH($A10,'INVENTORY MASTER'!$A$4:$A$63,0)),""))</f>
        <v/>
      </c>
      <c r="M10" s="24" t="str">
        <f aca="false">IF($A10="","",IFERROR(INDEX('INVENTORY MASTER'!$W$4:$W$63,MATCH($A10,'INVENTORY MASTER'!$A$4:$A$63,0)),""))</f>
        <v/>
      </c>
      <c r="N10" s="24" t="str">
        <f aca="false">IF($A10="","",IFERROR(INDEX('INVENTORY MASTER'!$X$4:$X$63,MATCH($A10,'INVENTORY MASTER'!$A$4:$A$63,0)),""))</f>
        <v/>
      </c>
      <c r="O10" s="24" t="str">
        <f aca="false">IF($A10="","",IFERROR(INDEX('INVENTORY MASTER'!$Y$4:$Y$63,MATCH($A10,'INVENTORY MASTER'!$A$4:$A$63,0)),""))</f>
        <v/>
      </c>
      <c r="P10" s="17"/>
      <c r="Q10" s="18"/>
      <c r="R10" s="17"/>
      <c r="S10" s="24" t="str">
        <f aca="false">IF($A10="","",IFERROR(INDEX('INVENTORY MASTER'!$Z$4:$Z$63,MATCH($A10,'INVENTORY MASTER'!$A$4:$A$63,0)),""))</f>
        <v/>
      </c>
      <c r="T10" s="21" t="str">
        <f aca="false">IF($A10="","",IFERROR(INDEX('INVENTORY MASTER'!$AI$4:$AI$63,MATCH($A10,'INVENTORY MASTER'!$A$4:$A$63,0)),""))</f>
        <v/>
      </c>
      <c r="U10" s="21" t="str">
        <f aca="false">IF($A10="","",IFERROR(INDEX('INVENTORY MASTER'!$AM$4:$AM$63,MATCH($A10,'INVENTORY MASTER'!$A$4:$A$63,0)),""))</f>
        <v/>
      </c>
      <c r="V10" s="21" t="str">
        <f aca="false">IF($A10="","",IFERROR(INDEX('INVENTORY MASTER'!$AO$4:$AO$63,MATCH($A10,'INVENTORY MASTER'!$A$4:$A$63,0)),""))</f>
        <v/>
      </c>
      <c r="W10" s="24" t="str">
        <f aca="false">IF($A10="","",IFERROR(INDEX('INVENTORY MASTER'!$AS$4:$AS$63,MATCH($A10,'INVENTORY MASTER'!$A$4:$A$63,0)),""))</f>
        <v/>
      </c>
      <c r="X10" s="24" t="str">
        <f aca="false">IF($A10="","",IFERROR(INDEX('INVENTORY MASTER'!$AR$4:$AR$63,MATCH($A10,'INVENTORY MASTER'!$A$4:$A$63,0)),""))</f>
        <v/>
      </c>
      <c r="Y10" s="18"/>
    </row>
    <row r="11" customFormat="false" ht="15" hidden="false" customHeight="false" outlineLevel="0" collapsed="false">
      <c r="A11" s="18"/>
      <c r="B11" s="24" t="str">
        <f aca="false">IF($A11="","",IFERROR(INDEX('INVENTORY MASTER'!$G$4:$G$63,MATCH($A11,'INVENTORY MASTER'!$A$4:$A$63,0)),""))</f>
        <v/>
      </c>
      <c r="C11" s="24" t="str">
        <f aca="false">IF($A11="","",IFERROR(INDEX('INVENTORY MASTER'!$H$4:$H$63,MATCH($A11,'INVENTORY MASTER'!$A$4:$A$63,0)),""))</f>
        <v/>
      </c>
      <c r="D11" s="24" t="str">
        <f aca="false">IF($A11="","",IFERROR(INDEX('INVENTORY MASTER'!$I$4:$I$63,MATCH($A11,'INVENTORY MASTER'!$A$4:$A$63,0)),""))</f>
        <v/>
      </c>
      <c r="E11" s="24" t="str">
        <f aca="false">IF($A11="","",IFERROR(INDEX('INVENTORY MASTER'!$J$4:$J$63,MATCH($A11,'INVENTORY MASTER'!$A$4:$A$63,0)),""))</f>
        <v/>
      </c>
      <c r="F11" s="24" t="str">
        <f aca="false">IF($A11="","",IFERROR(INDEX('INVENTORY MASTER'!$V$4:$V$63,MATCH($A11,'INVENTORY MASTER'!$A$4:$A$63,0)),""))</f>
        <v/>
      </c>
      <c r="G11" s="24" t="str">
        <f aca="false">IF($A11="","",IFERROR(INDEX('INVENTORY MASTER'!$T$4:$T$63,MATCH($A11,'INVENTORY MASTER'!$A$4:$A$63,0)),""))</f>
        <v/>
      </c>
      <c r="H11" s="18"/>
      <c r="I11" s="18"/>
      <c r="J11" s="18"/>
      <c r="K11" s="24" t="str">
        <f aca="false">IF($A11="","",IFERROR(INDEX('INVENTORY MASTER'!$U$4:$U$63,MATCH($A11,'INVENTORY MASTER'!$A$4:$A$63,0)),""))</f>
        <v/>
      </c>
      <c r="L11" s="24" t="str">
        <f aca="false">IF($A11="","",IFERROR(INDEX('INVENTORY MASTER'!$U$4:$U$63,MATCH($A11,'INVENTORY MASTER'!$A$4:$A$63,0)),""))</f>
        <v/>
      </c>
      <c r="M11" s="24" t="str">
        <f aca="false">IF($A11="","",IFERROR(INDEX('INVENTORY MASTER'!$W$4:$W$63,MATCH($A11,'INVENTORY MASTER'!$A$4:$A$63,0)),""))</f>
        <v/>
      </c>
      <c r="N11" s="24" t="str">
        <f aca="false">IF($A11="","",IFERROR(INDEX('INVENTORY MASTER'!$X$4:$X$63,MATCH($A11,'INVENTORY MASTER'!$A$4:$A$63,0)),""))</f>
        <v/>
      </c>
      <c r="O11" s="24" t="str">
        <f aca="false">IF($A11="","",IFERROR(INDEX('INVENTORY MASTER'!$Y$4:$Y$63,MATCH($A11,'INVENTORY MASTER'!$A$4:$A$63,0)),""))</f>
        <v/>
      </c>
      <c r="P11" s="17"/>
      <c r="Q11" s="18"/>
      <c r="R11" s="17"/>
      <c r="S11" s="24" t="str">
        <f aca="false">IF($A11="","",IFERROR(INDEX('INVENTORY MASTER'!$Z$4:$Z$63,MATCH($A11,'INVENTORY MASTER'!$A$4:$A$63,0)),""))</f>
        <v/>
      </c>
      <c r="T11" s="21" t="str">
        <f aca="false">IF($A11="","",IFERROR(INDEX('INVENTORY MASTER'!$AI$4:$AI$63,MATCH($A11,'INVENTORY MASTER'!$A$4:$A$63,0)),""))</f>
        <v/>
      </c>
      <c r="U11" s="21" t="str">
        <f aca="false">IF($A11="","",IFERROR(INDEX('INVENTORY MASTER'!$AM$4:$AM$63,MATCH($A11,'INVENTORY MASTER'!$A$4:$A$63,0)),""))</f>
        <v/>
      </c>
      <c r="V11" s="21" t="str">
        <f aca="false">IF($A11="","",IFERROR(INDEX('INVENTORY MASTER'!$AO$4:$AO$63,MATCH($A11,'INVENTORY MASTER'!$A$4:$A$63,0)),""))</f>
        <v/>
      </c>
      <c r="W11" s="24" t="str">
        <f aca="false">IF($A11="","",IFERROR(INDEX('INVENTORY MASTER'!$AS$4:$AS$63,MATCH($A11,'INVENTORY MASTER'!$A$4:$A$63,0)),""))</f>
        <v/>
      </c>
      <c r="X11" s="24" t="str">
        <f aca="false">IF($A11="","",IFERROR(INDEX('INVENTORY MASTER'!$AR$4:$AR$63,MATCH($A11,'INVENTORY MASTER'!$A$4:$A$63,0)),""))</f>
        <v/>
      </c>
      <c r="Y11" s="18"/>
    </row>
    <row r="12" customFormat="false" ht="15" hidden="false" customHeight="false" outlineLevel="0" collapsed="false">
      <c r="A12" s="18"/>
      <c r="B12" s="24" t="str">
        <f aca="false">IF($A12="","",IFERROR(INDEX('INVENTORY MASTER'!$G$4:$G$63,MATCH($A12,'INVENTORY MASTER'!$A$4:$A$63,0)),""))</f>
        <v/>
      </c>
      <c r="C12" s="24" t="str">
        <f aca="false">IF($A12="","",IFERROR(INDEX('INVENTORY MASTER'!$H$4:$H$63,MATCH($A12,'INVENTORY MASTER'!$A$4:$A$63,0)),""))</f>
        <v/>
      </c>
      <c r="D12" s="24" t="str">
        <f aca="false">IF($A12="","",IFERROR(INDEX('INVENTORY MASTER'!$I$4:$I$63,MATCH($A12,'INVENTORY MASTER'!$A$4:$A$63,0)),""))</f>
        <v/>
      </c>
      <c r="E12" s="24" t="str">
        <f aca="false">IF($A12="","",IFERROR(INDEX('INVENTORY MASTER'!$J$4:$J$63,MATCH($A12,'INVENTORY MASTER'!$A$4:$A$63,0)),""))</f>
        <v/>
      </c>
      <c r="F12" s="24" t="str">
        <f aca="false">IF($A12="","",IFERROR(INDEX('INVENTORY MASTER'!$V$4:$V$63,MATCH($A12,'INVENTORY MASTER'!$A$4:$A$63,0)),""))</f>
        <v/>
      </c>
      <c r="G12" s="24" t="str">
        <f aca="false">IF($A12="","",IFERROR(INDEX('INVENTORY MASTER'!$T$4:$T$63,MATCH($A12,'INVENTORY MASTER'!$A$4:$A$63,0)),""))</f>
        <v/>
      </c>
      <c r="H12" s="18"/>
      <c r="I12" s="18"/>
      <c r="J12" s="18"/>
      <c r="K12" s="24" t="str">
        <f aca="false">IF($A12="","",IFERROR(INDEX('INVENTORY MASTER'!$U$4:$U$63,MATCH($A12,'INVENTORY MASTER'!$A$4:$A$63,0)),""))</f>
        <v/>
      </c>
      <c r="L12" s="24" t="str">
        <f aca="false">IF($A12="","",IFERROR(INDEX('INVENTORY MASTER'!$U$4:$U$63,MATCH($A12,'INVENTORY MASTER'!$A$4:$A$63,0)),""))</f>
        <v/>
      </c>
      <c r="M12" s="24" t="str">
        <f aca="false">IF($A12="","",IFERROR(INDEX('INVENTORY MASTER'!$W$4:$W$63,MATCH($A12,'INVENTORY MASTER'!$A$4:$A$63,0)),""))</f>
        <v/>
      </c>
      <c r="N12" s="24" t="str">
        <f aca="false">IF($A12="","",IFERROR(INDEX('INVENTORY MASTER'!$X$4:$X$63,MATCH($A12,'INVENTORY MASTER'!$A$4:$A$63,0)),""))</f>
        <v/>
      </c>
      <c r="O12" s="24" t="str">
        <f aca="false">IF($A12="","",IFERROR(INDEX('INVENTORY MASTER'!$Y$4:$Y$63,MATCH($A12,'INVENTORY MASTER'!$A$4:$A$63,0)),""))</f>
        <v/>
      </c>
      <c r="P12" s="17"/>
      <c r="Q12" s="18"/>
      <c r="R12" s="17"/>
      <c r="S12" s="24" t="str">
        <f aca="false">IF($A12="","",IFERROR(INDEX('INVENTORY MASTER'!$Z$4:$Z$63,MATCH($A12,'INVENTORY MASTER'!$A$4:$A$63,0)),""))</f>
        <v/>
      </c>
      <c r="T12" s="21" t="str">
        <f aca="false">IF($A12="","",IFERROR(INDEX('INVENTORY MASTER'!$AI$4:$AI$63,MATCH($A12,'INVENTORY MASTER'!$A$4:$A$63,0)),""))</f>
        <v/>
      </c>
      <c r="U12" s="21" t="str">
        <f aca="false">IF($A12="","",IFERROR(INDEX('INVENTORY MASTER'!$AM$4:$AM$63,MATCH($A12,'INVENTORY MASTER'!$A$4:$A$63,0)),""))</f>
        <v/>
      </c>
      <c r="V12" s="21" t="str">
        <f aca="false">IF($A12="","",IFERROR(INDEX('INVENTORY MASTER'!$AO$4:$AO$63,MATCH($A12,'INVENTORY MASTER'!$A$4:$A$63,0)),""))</f>
        <v/>
      </c>
      <c r="W12" s="24" t="str">
        <f aca="false">IF($A12="","",IFERROR(INDEX('INVENTORY MASTER'!$AS$4:$AS$63,MATCH($A12,'INVENTORY MASTER'!$A$4:$A$63,0)),""))</f>
        <v/>
      </c>
      <c r="X12" s="24" t="str">
        <f aca="false">IF($A12="","",IFERROR(INDEX('INVENTORY MASTER'!$AR$4:$AR$63,MATCH($A12,'INVENTORY MASTER'!$A$4:$A$63,0)),""))</f>
        <v/>
      </c>
      <c r="Y12" s="18"/>
    </row>
    <row r="13" customFormat="false" ht="15" hidden="false" customHeight="false" outlineLevel="0" collapsed="false">
      <c r="A13" s="18"/>
      <c r="B13" s="24" t="str">
        <f aca="false">IF($A13="","",IFERROR(INDEX('INVENTORY MASTER'!$G$4:$G$63,MATCH($A13,'INVENTORY MASTER'!$A$4:$A$63,0)),""))</f>
        <v/>
      </c>
      <c r="C13" s="24" t="str">
        <f aca="false">IF($A13="","",IFERROR(INDEX('INVENTORY MASTER'!$H$4:$H$63,MATCH($A13,'INVENTORY MASTER'!$A$4:$A$63,0)),""))</f>
        <v/>
      </c>
      <c r="D13" s="24" t="str">
        <f aca="false">IF($A13="","",IFERROR(INDEX('INVENTORY MASTER'!$I$4:$I$63,MATCH($A13,'INVENTORY MASTER'!$A$4:$A$63,0)),""))</f>
        <v/>
      </c>
      <c r="E13" s="24" t="str">
        <f aca="false">IF($A13="","",IFERROR(INDEX('INVENTORY MASTER'!$J$4:$J$63,MATCH($A13,'INVENTORY MASTER'!$A$4:$A$63,0)),""))</f>
        <v/>
      </c>
      <c r="F13" s="24" t="str">
        <f aca="false">IF($A13="","",IFERROR(INDEX('INVENTORY MASTER'!$V$4:$V$63,MATCH($A13,'INVENTORY MASTER'!$A$4:$A$63,0)),""))</f>
        <v/>
      </c>
      <c r="G13" s="24" t="str">
        <f aca="false">IF($A13="","",IFERROR(INDEX('INVENTORY MASTER'!$T$4:$T$63,MATCH($A13,'INVENTORY MASTER'!$A$4:$A$63,0)),""))</f>
        <v/>
      </c>
      <c r="H13" s="18"/>
      <c r="I13" s="18"/>
      <c r="J13" s="18"/>
      <c r="K13" s="24" t="str">
        <f aca="false">IF($A13="","",IFERROR(INDEX('INVENTORY MASTER'!$U$4:$U$63,MATCH($A13,'INVENTORY MASTER'!$A$4:$A$63,0)),""))</f>
        <v/>
      </c>
      <c r="L13" s="24" t="str">
        <f aca="false">IF($A13="","",IFERROR(INDEX('INVENTORY MASTER'!$U$4:$U$63,MATCH($A13,'INVENTORY MASTER'!$A$4:$A$63,0)),""))</f>
        <v/>
      </c>
      <c r="M13" s="24" t="str">
        <f aca="false">IF($A13="","",IFERROR(INDEX('INVENTORY MASTER'!$W$4:$W$63,MATCH($A13,'INVENTORY MASTER'!$A$4:$A$63,0)),""))</f>
        <v/>
      </c>
      <c r="N13" s="24" t="str">
        <f aca="false">IF($A13="","",IFERROR(INDEX('INVENTORY MASTER'!$X$4:$X$63,MATCH($A13,'INVENTORY MASTER'!$A$4:$A$63,0)),""))</f>
        <v/>
      </c>
      <c r="O13" s="24" t="str">
        <f aca="false">IF($A13="","",IFERROR(INDEX('INVENTORY MASTER'!$Y$4:$Y$63,MATCH($A13,'INVENTORY MASTER'!$A$4:$A$63,0)),""))</f>
        <v/>
      </c>
      <c r="P13" s="17"/>
      <c r="Q13" s="18"/>
      <c r="R13" s="17"/>
      <c r="S13" s="24" t="str">
        <f aca="false">IF($A13="","",IFERROR(INDEX('INVENTORY MASTER'!$Z$4:$Z$63,MATCH($A13,'INVENTORY MASTER'!$A$4:$A$63,0)),""))</f>
        <v/>
      </c>
      <c r="T13" s="21" t="str">
        <f aca="false">IF($A13="","",IFERROR(INDEX('INVENTORY MASTER'!$AI$4:$AI$63,MATCH($A13,'INVENTORY MASTER'!$A$4:$A$63,0)),""))</f>
        <v/>
      </c>
      <c r="U13" s="21" t="str">
        <f aca="false">IF($A13="","",IFERROR(INDEX('INVENTORY MASTER'!$AM$4:$AM$63,MATCH($A13,'INVENTORY MASTER'!$A$4:$A$63,0)),""))</f>
        <v/>
      </c>
      <c r="V13" s="21" t="str">
        <f aca="false">IF($A13="","",IFERROR(INDEX('INVENTORY MASTER'!$AO$4:$AO$63,MATCH($A13,'INVENTORY MASTER'!$A$4:$A$63,0)),""))</f>
        <v/>
      </c>
      <c r="W13" s="24" t="str">
        <f aca="false">IF($A13="","",IFERROR(INDEX('INVENTORY MASTER'!$AS$4:$AS$63,MATCH($A13,'INVENTORY MASTER'!$A$4:$A$63,0)),""))</f>
        <v/>
      </c>
      <c r="X13" s="24" t="str">
        <f aca="false">IF($A13="","",IFERROR(INDEX('INVENTORY MASTER'!$AR$4:$AR$63,MATCH($A13,'INVENTORY MASTER'!$A$4:$A$63,0)),""))</f>
        <v/>
      </c>
      <c r="Y13" s="18"/>
    </row>
    <row r="14" customFormat="false" ht="15" hidden="false" customHeight="false" outlineLevel="0" collapsed="false">
      <c r="A14" s="18"/>
      <c r="B14" s="24" t="str">
        <f aca="false">IF($A14="","",IFERROR(INDEX('INVENTORY MASTER'!$G$4:$G$63,MATCH($A14,'INVENTORY MASTER'!$A$4:$A$63,0)),""))</f>
        <v/>
      </c>
      <c r="C14" s="24" t="str">
        <f aca="false">IF($A14="","",IFERROR(INDEX('INVENTORY MASTER'!$H$4:$H$63,MATCH($A14,'INVENTORY MASTER'!$A$4:$A$63,0)),""))</f>
        <v/>
      </c>
      <c r="D14" s="24" t="str">
        <f aca="false">IF($A14="","",IFERROR(INDEX('INVENTORY MASTER'!$I$4:$I$63,MATCH($A14,'INVENTORY MASTER'!$A$4:$A$63,0)),""))</f>
        <v/>
      </c>
      <c r="E14" s="24" t="str">
        <f aca="false">IF($A14="","",IFERROR(INDEX('INVENTORY MASTER'!$J$4:$J$63,MATCH($A14,'INVENTORY MASTER'!$A$4:$A$63,0)),""))</f>
        <v/>
      </c>
      <c r="F14" s="24" t="str">
        <f aca="false">IF($A14="","",IFERROR(INDEX('INVENTORY MASTER'!$V$4:$V$63,MATCH($A14,'INVENTORY MASTER'!$A$4:$A$63,0)),""))</f>
        <v/>
      </c>
      <c r="G14" s="24" t="str">
        <f aca="false">IF($A14="","",IFERROR(INDEX('INVENTORY MASTER'!$T$4:$T$63,MATCH($A14,'INVENTORY MASTER'!$A$4:$A$63,0)),""))</f>
        <v/>
      </c>
      <c r="H14" s="18"/>
      <c r="I14" s="18"/>
      <c r="J14" s="18"/>
      <c r="K14" s="24" t="str">
        <f aca="false">IF($A14="","",IFERROR(INDEX('INVENTORY MASTER'!$U$4:$U$63,MATCH($A14,'INVENTORY MASTER'!$A$4:$A$63,0)),""))</f>
        <v/>
      </c>
      <c r="L14" s="24" t="str">
        <f aca="false">IF($A14="","",IFERROR(INDEX('INVENTORY MASTER'!$U$4:$U$63,MATCH($A14,'INVENTORY MASTER'!$A$4:$A$63,0)),""))</f>
        <v/>
      </c>
      <c r="M14" s="24" t="str">
        <f aca="false">IF($A14="","",IFERROR(INDEX('INVENTORY MASTER'!$W$4:$W$63,MATCH($A14,'INVENTORY MASTER'!$A$4:$A$63,0)),""))</f>
        <v/>
      </c>
      <c r="N14" s="24" t="str">
        <f aca="false">IF($A14="","",IFERROR(INDEX('INVENTORY MASTER'!$X$4:$X$63,MATCH($A14,'INVENTORY MASTER'!$A$4:$A$63,0)),""))</f>
        <v/>
      </c>
      <c r="O14" s="24" t="str">
        <f aca="false">IF($A14="","",IFERROR(INDEX('INVENTORY MASTER'!$Y$4:$Y$63,MATCH($A14,'INVENTORY MASTER'!$A$4:$A$63,0)),""))</f>
        <v/>
      </c>
      <c r="P14" s="17"/>
      <c r="Q14" s="18"/>
      <c r="R14" s="17"/>
      <c r="S14" s="24" t="str">
        <f aca="false">IF($A14="","",IFERROR(INDEX('INVENTORY MASTER'!$Z$4:$Z$63,MATCH($A14,'INVENTORY MASTER'!$A$4:$A$63,0)),""))</f>
        <v/>
      </c>
      <c r="T14" s="21" t="str">
        <f aca="false">IF($A14="","",IFERROR(INDEX('INVENTORY MASTER'!$AI$4:$AI$63,MATCH($A14,'INVENTORY MASTER'!$A$4:$A$63,0)),""))</f>
        <v/>
      </c>
      <c r="U14" s="21" t="str">
        <f aca="false">IF($A14="","",IFERROR(INDEX('INVENTORY MASTER'!$AM$4:$AM$63,MATCH($A14,'INVENTORY MASTER'!$A$4:$A$63,0)),""))</f>
        <v/>
      </c>
      <c r="V14" s="21" t="str">
        <f aca="false">IF($A14="","",IFERROR(INDEX('INVENTORY MASTER'!$AO$4:$AO$63,MATCH($A14,'INVENTORY MASTER'!$A$4:$A$63,0)),""))</f>
        <v/>
      </c>
      <c r="W14" s="24" t="str">
        <f aca="false">IF($A14="","",IFERROR(INDEX('INVENTORY MASTER'!$AS$4:$AS$63,MATCH($A14,'INVENTORY MASTER'!$A$4:$A$63,0)),""))</f>
        <v/>
      </c>
      <c r="X14" s="24" t="str">
        <f aca="false">IF($A14="","",IFERROR(INDEX('INVENTORY MASTER'!$AR$4:$AR$63,MATCH($A14,'INVENTORY MASTER'!$A$4:$A$63,0)),""))</f>
        <v/>
      </c>
      <c r="Y14" s="18"/>
    </row>
    <row r="15" customFormat="false" ht="15" hidden="false" customHeight="false" outlineLevel="0" collapsed="false">
      <c r="A15" s="18"/>
      <c r="B15" s="24" t="str">
        <f aca="false">IF($A15="","",IFERROR(INDEX('INVENTORY MASTER'!$G$4:$G$63,MATCH($A15,'INVENTORY MASTER'!$A$4:$A$63,0)),""))</f>
        <v/>
      </c>
      <c r="C15" s="24" t="str">
        <f aca="false">IF($A15="","",IFERROR(INDEX('INVENTORY MASTER'!$H$4:$H$63,MATCH($A15,'INVENTORY MASTER'!$A$4:$A$63,0)),""))</f>
        <v/>
      </c>
      <c r="D15" s="24" t="str">
        <f aca="false">IF($A15="","",IFERROR(INDEX('INVENTORY MASTER'!$I$4:$I$63,MATCH($A15,'INVENTORY MASTER'!$A$4:$A$63,0)),""))</f>
        <v/>
      </c>
      <c r="E15" s="24" t="str">
        <f aca="false">IF($A15="","",IFERROR(INDEX('INVENTORY MASTER'!$J$4:$J$63,MATCH($A15,'INVENTORY MASTER'!$A$4:$A$63,0)),""))</f>
        <v/>
      </c>
      <c r="F15" s="24" t="str">
        <f aca="false">IF($A15="","",IFERROR(INDEX('INVENTORY MASTER'!$V$4:$V$63,MATCH($A15,'INVENTORY MASTER'!$A$4:$A$63,0)),""))</f>
        <v/>
      </c>
      <c r="G15" s="24" t="str">
        <f aca="false">IF($A15="","",IFERROR(INDEX('INVENTORY MASTER'!$T$4:$T$63,MATCH($A15,'INVENTORY MASTER'!$A$4:$A$63,0)),""))</f>
        <v/>
      </c>
      <c r="H15" s="18"/>
      <c r="I15" s="18"/>
      <c r="J15" s="18"/>
      <c r="K15" s="24" t="str">
        <f aca="false">IF($A15="","",IFERROR(INDEX('INVENTORY MASTER'!$U$4:$U$63,MATCH($A15,'INVENTORY MASTER'!$A$4:$A$63,0)),""))</f>
        <v/>
      </c>
      <c r="L15" s="24" t="str">
        <f aca="false">IF($A15="","",IFERROR(INDEX('INVENTORY MASTER'!$U$4:$U$63,MATCH($A15,'INVENTORY MASTER'!$A$4:$A$63,0)),""))</f>
        <v/>
      </c>
      <c r="M15" s="24" t="str">
        <f aca="false">IF($A15="","",IFERROR(INDEX('INVENTORY MASTER'!$W$4:$W$63,MATCH($A15,'INVENTORY MASTER'!$A$4:$A$63,0)),""))</f>
        <v/>
      </c>
      <c r="N15" s="24" t="str">
        <f aca="false">IF($A15="","",IFERROR(INDEX('INVENTORY MASTER'!$X$4:$X$63,MATCH($A15,'INVENTORY MASTER'!$A$4:$A$63,0)),""))</f>
        <v/>
      </c>
      <c r="O15" s="24" t="str">
        <f aca="false">IF($A15="","",IFERROR(INDEX('INVENTORY MASTER'!$Y$4:$Y$63,MATCH($A15,'INVENTORY MASTER'!$A$4:$A$63,0)),""))</f>
        <v/>
      </c>
      <c r="P15" s="17"/>
      <c r="Q15" s="18"/>
      <c r="R15" s="17"/>
      <c r="S15" s="24" t="str">
        <f aca="false">IF($A15="","",IFERROR(INDEX('INVENTORY MASTER'!$Z$4:$Z$63,MATCH($A15,'INVENTORY MASTER'!$A$4:$A$63,0)),""))</f>
        <v/>
      </c>
      <c r="T15" s="21" t="str">
        <f aca="false">IF($A15="","",IFERROR(INDEX('INVENTORY MASTER'!$AI$4:$AI$63,MATCH($A15,'INVENTORY MASTER'!$A$4:$A$63,0)),""))</f>
        <v/>
      </c>
      <c r="U15" s="21" t="str">
        <f aca="false">IF($A15="","",IFERROR(INDEX('INVENTORY MASTER'!$AM$4:$AM$63,MATCH($A15,'INVENTORY MASTER'!$A$4:$A$63,0)),""))</f>
        <v/>
      </c>
      <c r="V15" s="21" t="str">
        <f aca="false">IF($A15="","",IFERROR(INDEX('INVENTORY MASTER'!$AO$4:$AO$63,MATCH($A15,'INVENTORY MASTER'!$A$4:$A$63,0)),""))</f>
        <v/>
      </c>
      <c r="W15" s="24" t="str">
        <f aca="false">IF($A15="","",IFERROR(INDEX('INVENTORY MASTER'!$AS$4:$AS$63,MATCH($A15,'INVENTORY MASTER'!$A$4:$A$63,0)),""))</f>
        <v/>
      </c>
      <c r="X15" s="24" t="str">
        <f aca="false">IF($A15="","",IFERROR(INDEX('INVENTORY MASTER'!$AR$4:$AR$63,MATCH($A15,'INVENTORY MASTER'!$A$4:$A$63,0)),""))</f>
        <v/>
      </c>
      <c r="Y15" s="18"/>
    </row>
    <row r="16" customFormat="false" ht="15" hidden="false" customHeight="false" outlineLevel="0" collapsed="false">
      <c r="A16" s="18"/>
      <c r="B16" s="24" t="str">
        <f aca="false">IF($A16="","",IFERROR(INDEX('INVENTORY MASTER'!$G$4:$G$63,MATCH($A16,'INVENTORY MASTER'!$A$4:$A$63,0)),""))</f>
        <v/>
      </c>
      <c r="C16" s="24" t="str">
        <f aca="false">IF($A16="","",IFERROR(INDEX('INVENTORY MASTER'!$H$4:$H$63,MATCH($A16,'INVENTORY MASTER'!$A$4:$A$63,0)),""))</f>
        <v/>
      </c>
      <c r="D16" s="24" t="str">
        <f aca="false">IF($A16="","",IFERROR(INDEX('INVENTORY MASTER'!$I$4:$I$63,MATCH($A16,'INVENTORY MASTER'!$A$4:$A$63,0)),""))</f>
        <v/>
      </c>
      <c r="E16" s="24" t="str">
        <f aca="false">IF($A16="","",IFERROR(INDEX('INVENTORY MASTER'!$J$4:$J$63,MATCH($A16,'INVENTORY MASTER'!$A$4:$A$63,0)),""))</f>
        <v/>
      </c>
      <c r="F16" s="24" t="str">
        <f aca="false">IF($A16="","",IFERROR(INDEX('INVENTORY MASTER'!$V$4:$V$63,MATCH($A16,'INVENTORY MASTER'!$A$4:$A$63,0)),""))</f>
        <v/>
      </c>
      <c r="G16" s="24" t="str">
        <f aca="false">IF($A16="","",IFERROR(INDEX('INVENTORY MASTER'!$T$4:$T$63,MATCH($A16,'INVENTORY MASTER'!$A$4:$A$63,0)),""))</f>
        <v/>
      </c>
      <c r="H16" s="18"/>
      <c r="I16" s="18"/>
      <c r="J16" s="18"/>
      <c r="K16" s="24" t="str">
        <f aca="false">IF($A16="","",IFERROR(INDEX('INVENTORY MASTER'!$U$4:$U$63,MATCH($A16,'INVENTORY MASTER'!$A$4:$A$63,0)),""))</f>
        <v/>
      </c>
      <c r="L16" s="24" t="str">
        <f aca="false">IF($A16="","",IFERROR(INDEX('INVENTORY MASTER'!$U$4:$U$63,MATCH($A16,'INVENTORY MASTER'!$A$4:$A$63,0)),""))</f>
        <v/>
      </c>
      <c r="M16" s="24" t="str">
        <f aca="false">IF($A16="","",IFERROR(INDEX('INVENTORY MASTER'!$W$4:$W$63,MATCH($A16,'INVENTORY MASTER'!$A$4:$A$63,0)),""))</f>
        <v/>
      </c>
      <c r="N16" s="24" t="str">
        <f aca="false">IF($A16="","",IFERROR(INDEX('INVENTORY MASTER'!$X$4:$X$63,MATCH($A16,'INVENTORY MASTER'!$A$4:$A$63,0)),""))</f>
        <v/>
      </c>
      <c r="O16" s="24" t="str">
        <f aca="false">IF($A16="","",IFERROR(INDEX('INVENTORY MASTER'!$Y$4:$Y$63,MATCH($A16,'INVENTORY MASTER'!$A$4:$A$63,0)),""))</f>
        <v/>
      </c>
      <c r="P16" s="17"/>
      <c r="Q16" s="18"/>
      <c r="R16" s="17"/>
      <c r="S16" s="24" t="str">
        <f aca="false">IF($A16="","",IFERROR(INDEX('INVENTORY MASTER'!$Z$4:$Z$63,MATCH($A16,'INVENTORY MASTER'!$A$4:$A$63,0)),""))</f>
        <v/>
      </c>
      <c r="T16" s="21" t="str">
        <f aca="false">IF($A16="","",IFERROR(INDEX('INVENTORY MASTER'!$AI$4:$AI$63,MATCH($A16,'INVENTORY MASTER'!$A$4:$A$63,0)),""))</f>
        <v/>
      </c>
      <c r="U16" s="21" t="str">
        <f aca="false">IF($A16="","",IFERROR(INDEX('INVENTORY MASTER'!$AM$4:$AM$63,MATCH($A16,'INVENTORY MASTER'!$A$4:$A$63,0)),""))</f>
        <v/>
      </c>
      <c r="V16" s="21" t="str">
        <f aca="false">IF($A16="","",IFERROR(INDEX('INVENTORY MASTER'!$AO$4:$AO$63,MATCH($A16,'INVENTORY MASTER'!$A$4:$A$63,0)),""))</f>
        <v/>
      </c>
      <c r="W16" s="24" t="str">
        <f aca="false">IF($A16="","",IFERROR(INDEX('INVENTORY MASTER'!$AS$4:$AS$63,MATCH($A16,'INVENTORY MASTER'!$A$4:$A$63,0)),""))</f>
        <v/>
      </c>
      <c r="X16" s="24" t="str">
        <f aca="false">IF($A16="","",IFERROR(INDEX('INVENTORY MASTER'!$AR$4:$AR$63,MATCH($A16,'INVENTORY MASTER'!$A$4:$A$63,0)),""))</f>
        <v/>
      </c>
      <c r="Y16" s="18"/>
    </row>
    <row r="17" customFormat="false" ht="15" hidden="false" customHeight="false" outlineLevel="0" collapsed="false">
      <c r="A17" s="18"/>
      <c r="B17" s="24" t="str">
        <f aca="false">IF($A17="","",IFERROR(INDEX('INVENTORY MASTER'!$G$4:$G$63,MATCH($A17,'INVENTORY MASTER'!$A$4:$A$63,0)),""))</f>
        <v/>
      </c>
      <c r="C17" s="24" t="str">
        <f aca="false">IF($A17="","",IFERROR(INDEX('INVENTORY MASTER'!$H$4:$H$63,MATCH($A17,'INVENTORY MASTER'!$A$4:$A$63,0)),""))</f>
        <v/>
      </c>
      <c r="D17" s="24" t="str">
        <f aca="false">IF($A17="","",IFERROR(INDEX('INVENTORY MASTER'!$I$4:$I$63,MATCH($A17,'INVENTORY MASTER'!$A$4:$A$63,0)),""))</f>
        <v/>
      </c>
      <c r="E17" s="24" t="str">
        <f aca="false">IF($A17="","",IFERROR(INDEX('INVENTORY MASTER'!$J$4:$J$63,MATCH($A17,'INVENTORY MASTER'!$A$4:$A$63,0)),""))</f>
        <v/>
      </c>
      <c r="F17" s="24" t="str">
        <f aca="false">IF($A17="","",IFERROR(INDEX('INVENTORY MASTER'!$V$4:$V$63,MATCH($A17,'INVENTORY MASTER'!$A$4:$A$63,0)),""))</f>
        <v/>
      </c>
      <c r="G17" s="24" t="str">
        <f aca="false">IF($A17="","",IFERROR(INDEX('INVENTORY MASTER'!$T$4:$T$63,MATCH($A17,'INVENTORY MASTER'!$A$4:$A$63,0)),""))</f>
        <v/>
      </c>
      <c r="H17" s="18"/>
      <c r="I17" s="18"/>
      <c r="J17" s="18"/>
      <c r="K17" s="24" t="str">
        <f aca="false">IF($A17="","",IFERROR(INDEX('INVENTORY MASTER'!$U$4:$U$63,MATCH($A17,'INVENTORY MASTER'!$A$4:$A$63,0)),""))</f>
        <v/>
      </c>
      <c r="L17" s="24" t="str">
        <f aca="false">IF($A17="","",IFERROR(INDEX('INVENTORY MASTER'!$U$4:$U$63,MATCH($A17,'INVENTORY MASTER'!$A$4:$A$63,0)),""))</f>
        <v/>
      </c>
      <c r="M17" s="24" t="str">
        <f aca="false">IF($A17="","",IFERROR(INDEX('INVENTORY MASTER'!$W$4:$W$63,MATCH($A17,'INVENTORY MASTER'!$A$4:$A$63,0)),""))</f>
        <v/>
      </c>
      <c r="N17" s="24" t="str">
        <f aca="false">IF($A17="","",IFERROR(INDEX('INVENTORY MASTER'!$X$4:$X$63,MATCH($A17,'INVENTORY MASTER'!$A$4:$A$63,0)),""))</f>
        <v/>
      </c>
      <c r="O17" s="24" t="str">
        <f aca="false">IF($A17="","",IFERROR(INDEX('INVENTORY MASTER'!$Y$4:$Y$63,MATCH($A17,'INVENTORY MASTER'!$A$4:$A$63,0)),""))</f>
        <v/>
      </c>
      <c r="P17" s="17"/>
      <c r="Q17" s="18"/>
      <c r="R17" s="17"/>
      <c r="S17" s="24" t="str">
        <f aca="false">IF($A17="","",IFERROR(INDEX('INVENTORY MASTER'!$Z$4:$Z$63,MATCH($A17,'INVENTORY MASTER'!$A$4:$A$63,0)),""))</f>
        <v/>
      </c>
      <c r="T17" s="21" t="str">
        <f aca="false">IF($A17="","",IFERROR(INDEX('INVENTORY MASTER'!$AI$4:$AI$63,MATCH($A17,'INVENTORY MASTER'!$A$4:$A$63,0)),""))</f>
        <v/>
      </c>
      <c r="U17" s="21" t="str">
        <f aca="false">IF($A17="","",IFERROR(INDEX('INVENTORY MASTER'!$AM$4:$AM$63,MATCH($A17,'INVENTORY MASTER'!$A$4:$A$63,0)),""))</f>
        <v/>
      </c>
      <c r="V17" s="21" t="str">
        <f aca="false">IF($A17="","",IFERROR(INDEX('INVENTORY MASTER'!$AO$4:$AO$63,MATCH($A17,'INVENTORY MASTER'!$A$4:$A$63,0)),""))</f>
        <v/>
      </c>
      <c r="W17" s="24" t="str">
        <f aca="false">IF($A17="","",IFERROR(INDEX('INVENTORY MASTER'!$AS$4:$AS$63,MATCH($A17,'INVENTORY MASTER'!$A$4:$A$63,0)),""))</f>
        <v/>
      </c>
      <c r="X17" s="24" t="str">
        <f aca="false">IF($A17="","",IFERROR(INDEX('INVENTORY MASTER'!$AR$4:$AR$63,MATCH($A17,'INVENTORY MASTER'!$A$4:$A$63,0)),""))</f>
        <v/>
      </c>
      <c r="Y17" s="18"/>
    </row>
    <row r="18" customFormat="false" ht="15" hidden="false" customHeight="false" outlineLevel="0" collapsed="false">
      <c r="A18" s="18"/>
      <c r="B18" s="24" t="str">
        <f aca="false">IF($A18="","",IFERROR(INDEX('INVENTORY MASTER'!$G$4:$G$63,MATCH($A18,'INVENTORY MASTER'!$A$4:$A$63,0)),""))</f>
        <v/>
      </c>
      <c r="C18" s="24" t="str">
        <f aca="false">IF($A18="","",IFERROR(INDEX('INVENTORY MASTER'!$H$4:$H$63,MATCH($A18,'INVENTORY MASTER'!$A$4:$A$63,0)),""))</f>
        <v/>
      </c>
      <c r="D18" s="24" t="str">
        <f aca="false">IF($A18="","",IFERROR(INDEX('INVENTORY MASTER'!$I$4:$I$63,MATCH($A18,'INVENTORY MASTER'!$A$4:$A$63,0)),""))</f>
        <v/>
      </c>
      <c r="E18" s="24" t="str">
        <f aca="false">IF($A18="","",IFERROR(INDEX('INVENTORY MASTER'!$J$4:$J$63,MATCH($A18,'INVENTORY MASTER'!$A$4:$A$63,0)),""))</f>
        <v/>
      </c>
      <c r="F18" s="24" t="str">
        <f aca="false">IF($A18="","",IFERROR(INDEX('INVENTORY MASTER'!$V$4:$V$63,MATCH($A18,'INVENTORY MASTER'!$A$4:$A$63,0)),""))</f>
        <v/>
      </c>
      <c r="G18" s="24" t="str">
        <f aca="false">IF($A18="","",IFERROR(INDEX('INVENTORY MASTER'!$T$4:$T$63,MATCH($A18,'INVENTORY MASTER'!$A$4:$A$63,0)),""))</f>
        <v/>
      </c>
      <c r="H18" s="18"/>
      <c r="I18" s="18"/>
      <c r="J18" s="18"/>
      <c r="K18" s="24" t="str">
        <f aca="false">IF($A18="","",IFERROR(INDEX('INVENTORY MASTER'!$U$4:$U$63,MATCH($A18,'INVENTORY MASTER'!$A$4:$A$63,0)),""))</f>
        <v/>
      </c>
      <c r="L18" s="24" t="str">
        <f aca="false">IF($A18="","",IFERROR(INDEX('INVENTORY MASTER'!$U$4:$U$63,MATCH($A18,'INVENTORY MASTER'!$A$4:$A$63,0)),""))</f>
        <v/>
      </c>
      <c r="M18" s="24" t="str">
        <f aca="false">IF($A18="","",IFERROR(INDEX('INVENTORY MASTER'!$W$4:$W$63,MATCH($A18,'INVENTORY MASTER'!$A$4:$A$63,0)),""))</f>
        <v/>
      </c>
      <c r="N18" s="24" t="str">
        <f aca="false">IF($A18="","",IFERROR(INDEX('INVENTORY MASTER'!$X$4:$X$63,MATCH($A18,'INVENTORY MASTER'!$A$4:$A$63,0)),""))</f>
        <v/>
      </c>
      <c r="O18" s="24" t="str">
        <f aca="false">IF($A18="","",IFERROR(INDEX('INVENTORY MASTER'!$Y$4:$Y$63,MATCH($A18,'INVENTORY MASTER'!$A$4:$A$63,0)),""))</f>
        <v/>
      </c>
      <c r="P18" s="17"/>
      <c r="Q18" s="18"/>
      <c r="R18" s="17"/>
      <c r="S18" s="24" t="str">
        <f aca="false">IF($A18="","",IFERROR(INDEX('INVENTORY MASTER'!$Z$4:$Z$63,MATCH($A18,'INVENTORY MASTER'!$A$4:$A$63,0)),""))</f>
        <v/>
      </c>
      <c r="T18" s="21" t="str">
        <f aca="false">IF($A18="","",IFERROR(INDEX('INVENTORY MASTER'!$AI$4:$AI$63,MATCH($A18,'INVENTORY MASTER'!$A$4:$A$63,0)),""))</f>
        <v/>
      </c>
      <c r="U18" s="21" t="str">
        <f aca="false">IF($A18="","",IFERROR(INDEX('INVENTORY MASTER'!$AM$4:$AM$63,MATCH($A18,'INVENTORY MASTER'!$A$4:$A$63,0)),""))</f>
        <v/>
      </c>
      <c r="V18" s="21" t="str">
        <f aca="false">IF($A18="","",IFERROR(INDEX('INVENTORY MASTER'!$AO$4:$AO$63,MATCH($A18,'INVENTORY MASTER'!$A$4:$A$63,0)),""))</f>
        <v/>
      </c>
      <c r="W18" s="24" t="str">
        <f aca="false">IF($A18="","",IFERROR(INDEX('INVENTORY MASTER'!$AS$4:$AS$63,MATCH($A18,'INVENTORY MASTER'!$A$4:$A$63,0)),""))</f>
        <v/>
      </c>
      <c r="X18" s="24" t="str">
        <f aca="false">IF($A18="","",IFERROR(INDEX('INVENTORY MASTER'!$AR$4:$AR$63,MATCH($A18,'INVENTORY MASTER'!$A$4:$A$63,0)),""))</f>
        <v/>
      </c>
      <c r="Y18" s="18"/>
    </row>
    <row r="19" customFormat="false" ht="15" hidden="false" customHeight="false" outlineLevel="0" collapsed="false">
      <c r="A19" s="18"/>
      <c r="B19" s="24" t="str">
        <f aca="false">IF($A19="","",IFERROR(INDEX('INVENTORY MASTER'!$G$4:$G$63,MATCH($A19,'INVENTORY MASTER'!$A$4:$A$63,0)),""))</f>
        <v/>
      </c>
      <c r="C19" s="24" t="str">
        <f aca="false">IF($A19="","",IFERROR(INDEX('INVENTORY MASTER'!$H$4:$H$63,MATCH($A19,'INVENTORY MASTER'!$A$4:$A$63,0)),""))</f>
        <v/>
      </c>
      <c r="D19" s="24" t="str">
        <f aca="false">IF($A19="","",IFERROR(INDEX('INVENTORY MASTER'!$I$4:$I$63,MATCH($A19,'INVENTORY MASTER'!$A$4:$A$63,0)),""))</f>
        <v/>
      </c>
      <c r="E19" s="24" t="str">
        <f aca="false">IF($A19="","",IFERROR(INDEX('INVENTORY MASTER'!$J$4:$J$63,MATCH($A19,'INVENTORY MASTER'!$A$4:$A$63,0)),""))</f>
        <v/>
      </c>
      <c r="F19" s="24" t="str">
        <f aca="false">IF($A19="","",IFERROR(INDEX('INVENTORY MASTER'!$V$4:$V$63,MATCH($A19,'INVENTORY MASTER'!$A$4:$A$63,0)),""))</f>
        <v/>
      </c>
      <c r="G19" s="24" t="str">
        <f aca="false">IF($A19="","",IFERROR(INDEX('INVENTORY MASTER'!$T$4:$T$63,MATCH($A19,'INVENTORY MASTER'!$A$4:$A$63,0)),""))</f>
        <v/>
      </c>
      <c r="H19" s="18"/>
      <c r="I19" s="18"/>
      <c r="J19" s="18"/>
      <c r="K19" s="24" t="str">
        <f aca="false">IF($A19="","",IFERROR(INDEX('INVENTORY MASTER'!$U$4:$U$63,MATCH($A19,'INVENTORY MASTER'!$A$4:$A$63,0)),""))</f>
        <v/>
      </c>
      <c r="L19" s="24" t="str">
        <f aca="false">IF($A19="","",IFERROR(INDEX('INVENTORY MASTER'!$U$4:$U$63,MATCH($A19,'INVENTORY MASTER'!$A$4:$A$63,0)),""))</f>
        <v/>
      </c>
      <c r="M19" s="24" t="str">
        <f aca="false">IF($A19="","",IFERROR(INDEX('INVENTORY MASTER'!$W$4:$W$63,MATCH($A19,'INVENTORY MASTER'!$A$4:$A$63,0)),""))</f>
        <v/>
      </c>
      <c r="N19" s="24" t="str">
        <f aca="false">IF($A19="","",IFERROR(INDEX('INVENTORY MASTER'!$X$4:$X$63,MATCH($A19,'INVENTORY MASTER'!$A$4:$A$63,0)),""))</f>
        <v/>
      </c>
      <c r="O19" s="24" t="str">
        <f aca="false">IF($A19="","",IFERROR(INDEX('INVENTORY MASTER'!$Y$4:$Y$63,MATCH($A19,'INVENTORY MASTER'!$A$4:$A$63,0)),""))</f>
        <v/>
      </c>
      <c r="P19" s="17"/>
      <c r="Q19" s="18"/>
      <c r="R19" s="17"/>
      <c r="S19" s="24" t="str">
        <f aca="false">IF($A19="","",IFERROR(INDEX('INVENTORY MASTER'!$Z$4:$Z$63,MATCH($A19,'INVENTORY MASTER'!$A$4:$A$63,0)),""))</f>
        <v/>
      </c>
      <c r="T19" s="21" t="str">
        <f aca="false">IF($A19="","",IFERROR(INDEX('INVENTORY MASTER'!$AI$4:$AI$63,MATCH($A19,'INVENTORY MASTER'!$A$4:$A$63,0)),""))</f>
        <v/>
      </c>
      <c r="U19" s="21" t="str">
        <f aca="false">IF($A19="","",IFERROR(INDEX('INVENTORY MASTER'!$AM$4:$AM$63,MATCH($A19,'INVENTORY MASTER'!$A$4:$A$63,0)),""))</f>
        <v/>
      </c>
      <c r="V19" s="21" t="str">
        <f aca="false">IF($A19="","",IFERROR(INDEX('INVENTORY MASTER'!$AO$4:$AO$63,MATCH($A19,'INVENTORY MASTER'!$A$4:$A$63,0)),""))</f>
        <v/>
      </c>
      <c r="W19" s="24" t="str">
        <f aca="false">IF($A19="","",IFERROR(INDEX('INVENTORY MASTER'!$AS$4:$AS$63,MATCH($A19,'INVENTORY MASTER'!$A$4:$A$63,0)),""))</f>
        <v/>
      </c>
      <c r="X19" s="24" t="str">
        <f aca="false">IF($A19="","",IFERROR(INDEX('INVENTORY MASTER'!$AR$4:$AR$63,MATCH($A19,'INVENTORY MASTER'!$A$4:$A$63,0)),""))</f>
        <v/>
      </c>
      <c r="Y19" s="18"/>
    </row>
    <row r="20" customFormat="false" ht="15" hidden="false" customHeight="false" outlineLevel="0" collapsed="false">
      <c r="A20" s="18"/>
      <c r="B20" s="24" t="str">
        <f aca="false">IF($A20="","",IFERROR(INDEX('INVENTORY MASTER'!$G$4:$G$63,MATCH($A20,'INVENTORY MASTER'!$A$4:$A$63,0)),""))</f>
        <v/>
      </c>
      <c r="C20" s="24" t="str">
        <f aca="false">IF($A20="","",IFERROR(INDEX('INVENTORY MASTER'!$H$4:$H$63,MATCH($A20,'INVENTORY MASTER'!$A$4:$A$63,0)),""))</f>
        <v/>
      </c>
      <c r="D20" s="24" t="str">
        <f aca="false">IF($A20="","",IFERROR(INDEX('INVENTORY MASTER'!$I$4:$I$63,MATCH($A20,'INVENTORY MASTER'!$A$4:$A$63,0)),""))</f>
        <v/>
      </c>
      <c r="E20" s="24" t="str">
        <f aca="false">IF($A20="","",IFERROR(INDEX('INVENTORY MASTER'!$J$4:$J$63,MATCH($A20,'INVENTORY MASTER'!$A$4:$A$63,0)),""))</f>
        <v/>
      </c>
      <c r="F20" s="24" t="str">
        <f aca="false">IF($A20="","",IFERROR(INDEX('INVENTORY MASTER'!$V$4:$V$63,MATCH($A20,'INVENTORY MASTER'!$A$4:$A$63,0)),""))</f>
        <v/>
      </c>
      <c r="G20" s="24" t="str">
        <f aca="false">IF($A20="","",IFERROR(INDEX('INVENTORY MASTER'!$T$4:$T$63,MATCH($A20,'INVENTORY MASTER'!$A$4:$A$63,0)),""))</f>
        <v/>
      </c>
      <c r="H20" s="18"/>
      <c r="I20" s="18"/>
      <c r="J20" s="18"/>
      <c r="K20" s="24" t="str">
        <f aca="false">IF($A20="","",IFERROR(INDEX('INVENTORY MASTER'!$U$4:$U$63,MATCH($A20,'INVENTORY MASTER'!$A$4:$A$63,0)),""))</f>
        <v/>
      </c>
      <c r="L20" s="24" t="str">
        <f aca="false">IF($A20="","",IFERROR(INDEX('INVENTORY MASTER'!$U$4:$U$63,MATCH($A20,'INVENTORY MASTER'!$A$4:$A$63,0)),""))</f>
        <v/>
      </c>
      <c r="M20" s="24" t="str">
        <f aca="false">IF($A20="","",IFERROR(INDEX('INVENTORY MASTER'!$W$4:$W$63,MATCH($A20,'INVENTORY MASTER'!$A$4:$A$63,0)),""))</f>
        <v/>
      </c>
      <c r="N20" s="24" t="str">
        <f aca="false">IF($A20="","",IFERROR(INDEX('INVENTORY MASTER'!$X$4:$X$63,MATCH($A20,'INVENTORY MASTER'!$A$4:$A$63,0)),""))</f>
        <v/>
      </c>
      <c r="O20" s="24" t="str">
        <f aca="false">IF($A20="","",IFERROR(INDEX('INVENTORY MASTER'!$Y$4:$Y$63,MATCH($A20,'INVENTORY MASTER'!$A$4:$A$63,0)),""))</f>
        <v/>
      </c>
      <c r="P20" s="17"/>
      <c r="Q20" s="18"/>
      <c r="R20" s="17"/>
      <c r="S20" s="24" t="str">
        <f aca="false">IF($A20="","",IFERROR(INDEX('INVENTORY MASTER'!$Z$4:$Z$63,MATCH($A20,'INVENTORY MASTER'!$A$4:$A$63,0)),""))</f>
        <v/>
      </c>
      <c r="T20" s="21" t="str">
        <f aca="false">IF($A20="","",IFERROR(INDEX('INVENTORY MASTER'!$AI$4:$AI$63,MATCH($A20,'INVENTORY MASTER'!$A$4:$A$63,0)),""))</f>
        <v/>
      </c>
      <c r="U20" s="21" t="str">
        <f aca="false">IF($A20="","",IFERROR(INDEX('INVENTORY MASTER'!$AM$4:$AM$63,MATCH($A20,'INVENTORY MASTER'!$A$4:$A$63,0)),""))</f>
        <v/>
      </c>
      <c r="V20" s="21" t="str">
        <f aca="false">IF($A20="","",IFERROR(INDEX('INVENTORY MASTER'!$AO$4:$AO$63,MATCH($A20,'INVENTORY MASTER'!$A$4:$A$63,0)),""))</f>
        <v/>
      </c>
      <c r="W20" s="24" t="str">
        <f aca="false">IF($A20="","",IFERROR(INDEX('INVENTORY MASTER'!$AS$4:$AS$63,MATCH($A20,'INVENTORY MASTER'!$A$4:$A$63,0)),""))</f>
        <v/>
      </c>
      <c r="X20" s="24" t="str">
        <f aca="false">IF($A20="","",IFERROR(INDEX('INVENTORY MASTER'!$AR$4:$AR$63,MATCH($A20,'INVENTORY MASTER'!$A$4:$A$63,0)),""))</f>
        <v/>
      </c>
      <c r="Y20" s="18"/>
    </row>
    <row r="21" customFormat="false" ht="15" hidden="false" customHeight="false" outlineLevel="0" collapsed="false">
      <c r="A21" s="18"/>
      <c r="B21" s="24" t="str">
        <f aca="false">IF($A21="","",IFERROR(INDEX('INVENTORY MASTER'!$G$4:$G$63,MATCH($A21,'INVENTORY MASTER'!$A$4:$A$63,0)),""))</f>
        <v/>
      </c>
      <c r="C21" s="24" t="str">
        <f aca="false">IF($A21="","",IFERROR(INDEX('INVENTORY MASTER'!$H$4:$H$63,MATCH($A21,'INVENTORY MASTER'!$A$4:$A$63,0)),""))</f>
        <v/>
      </c>
      <c r="D21" s="24" t="str">
        <f aca="false">IF($A21="","",IFERROR(INDEX('INVENTORY MASTER'!$I$4:$I$63,MATCH($A21,'INVENTORY MASTER'!$A$4:$A$63,0)),""))</f>
        <v/>
      </c>
      <c r="E21" s="24" t="str">
        <f aca="false">IF($A21="","",IFERROR(INDEX('INVENTORY MASTER'!$J$4:$J$63,MATCH($A21,'INVENTORY MASTER'!$A$4:$A$63,0)),""))</f>
        <v/>
      </c>
      <c r="F21" s="24" t="str">
        <f aca="false">IF($A21="","",IFERROR(INDEX('INVENTORY MASTER'!$V$4:$V$63,MATCH($A21,'INVENTORY MASTER'!$A$4:$A$63,0)),""))</f>
        <v/>
      </c>
      <c r="G21" s="24" t="str">
        <f aca="false">IF($A21="","",IFERROR(INDEX('INVENTORY MASTER'!$T$4:$T$63,MATCH($A21,'INVENTORY MASTER'!$A$4:$A$63,0)),""))</f>
        <v/>
      </c>
      <c r="H21" s="18"/>
      <c r="I21" s="18"/>
      <c r="J21" s="18"/>
      <c r="K21" s="24" t="str">
        <f aca="false">IF($A21="","",IFERROR(INDEX('INVENTORY MASTER'!$U$4:$U$63,MATCH($A21,'INVENTORY MASTER'!$A$4:$A$63,0)),""))</f>
        <v/>
      </c>
      <c r="L21" s="24" t="str">
        <f aca="false">IF($A21="","",IFERROR(INDEX('INVENTORY MASTER'!$U$4:$U$63,MATCH($A21,'INVENTORY MASTER'!$A$4:$A$63,0)),""))</f>
        <v/>
      </c>
      <c r="M21" s="24" t="str">
        <f aca="false">IF($A21="","",IFERROR(INDEX('INVENTORY MASTER'!$W$4:$W$63,MATCH($A21,'INVENTORY MASTER'!$A$4:$A$63,0)),""))</f>
        <v/>
      </c>
      <c r="N21" s="24" t="str">
        <f aca="false">IF($A21="","",IFERROR(INDEX('INVENTORY MASTER'!$X$4:$X$63,MATCH($A21,'INVENTORY MASTER'!$A$4:$A$63,0)),""))</f>
        <v/>
      </c>
      <c r="O21" s="24" t="str">
        <f aca="false">IF($A21="","",IFERROR(INDEX('INVENTORY MASTER'!$Y$4:$Y$63,MATCH($A21,'INVENTORY MASTER'!$A$4:$A$63,0)),""))</f>
        <v/>
      </c>
      <c r="P21" s="17"/>
      <c r="Q21" s="18"/>
      <c r="R21" s="17"/>
      <c r="S21" s="24" t="str">
        <f aca="false">IF($A21="","",IFERROR(INDEX('INVENTORY MASTER'!$Z$4:$Z$63,MATCH($A21,'INVENTORY MASTER'!$A$4:$A$63,0)),""))</f>
        <v/>
      </c>
      <c r="T21" s="21" t="str">
        <f aca="false">IF($A21="","",IFERROR(INDEX('INVENTORY MASTER'!$AI$4:$AI$63,MATCH($A21,'INVENTORY MASTER'!$A$4:$A$63,0)),""))</f>
        <v/>
      </c>
      <c r="U21" s="21" t="str">
        <f aca="false">IF($A21="","",IFERROR(INDEX('INVENTORY MASTER'!$AM$4:$AM$63,MATCH($A21,'INVENTORY MASTER'!$A$4:$A$63,0)),""))</f>
        <v/>
      </c>
      <c r="V21" s="21" t="str">
        <f aca="false">IF($A21="","",IFERROR(INDEX('INVENTORY MASTER'!$AO$4:$AO$63,MATCH($A21,'INVENTORY MASTER'!$A$4:$A$63,0)),""))</f>
        <v/>
      </c>
      <c r="W21" s="24" t="str">
        <f aca="false">IF($A21="","",IFERROR(INDEX('INVENTORY MASTER'!$AS$4:$AS$63,MATCH($A21,'INVENTORY MASTER'!$A$4:$A$63,0)),""))</f>
        <v/>
      </c>
      <c r="X21" s="24" t="str">
        <f aca="false">IF($A21="","",IFERROR(INDEX('INVENTORY MASTER'!$AR$4:$AR$63,MATCH($A21,'INVENTORY MASTER'!$A$4:$A$63,0)),""))</f>
        <v/>
      </c>
      <c r="Y21" s="18"/>
    </row>
    <row r="22" customFormat="false" ht="15" hidden="false" customHeight="false" outlineLevel="0" collapsed="false">
      <c r="A22" s="18"/>
      <c r="B22" s="24" t="str">
        <f aca="false">IF($A22="","",IFERROR(INDEX('INVENTORY MASTER'!$G$4:$G$63,MATCH($A22,'INVENTORY MASTER'!$A$4:$A$63,0)),""))</f>
        <v/>
      </c>
      <c r="C22" s="24" t="str">
        <f aca="false">IF($A22="","",IFERROR(INDEX('INVENTORY MASTER'!$H$4:$H$63,MATCH($A22,'INVENTORY MASTER'!$A$4:$A$63,0)),""))</f>
        <v/>
      </c>
      <c r="D22" s="24" t="str">
        <f aca="false">IF($A22="","",IFERROR(INDEX('INVENTORY MASTER'!$I$4:$I$63,MATCH($A22,'INVENTORY MASTER'!$A$4:$A$63,0)),""))</f>
        <v/>
      </c>
      <c r="E22" s="24" t="str">
        <f aca="false">IF($A22="","",IFERROR(INDEX('INVENTORY MASTER'!$J$4:$J$63,MATCH($A22,'INVENTORY MASTER'!$A$4:$A$63,0)),""))</f>
        <v/>
      </c>
      <c r="F22" s="24" t="str">
        <f aca="false">IF($A22="","",IFERROR(INDEX('INVENTORY MASTER'!$V$4:$V$63,MATCH($A22,'INVENTORY MASTER'!$A$4:$A$63,0)),""))</f>
        <v/>
      </c>
      <c r="G22" s="24" t="str">
        <f aca="false">IF($A22="","",IFERROR(INDEX('INVENTORY MASTER'!$T$4:$T$63,MATCH($A22,'INVENTORY MASTER'!$A$4:$A$63,0)),""))</f>
        <v/>
      </c>
      <c r="H22" s="18"/>
      <c r="I22" s="18"/>
      <c r="J22" s="18"/>
      <c r="K22" s="24" t="str">
        <f aca="false">IF($A22="","",IFERROR(INDEX('INVENTORY MASTER'!$U$4:$U$63,MATCH($A22,'INVENTORY MASTER'!$A$4:$A$63,0)),""))</f>
        <v/>
      </c>
      <c r="L22" s="24" t="str">
        <f aca="false">IF($A22="","",IFERROR(INDEX('INVENTORY MASTER'!$U$4:$U$63,MATCH($A22,'INVENTORY MASTER'!$A$4:$A$63,0)),""))</f>
        <v/>
      </c>
      <c r="M22" s="24" t="str">
        <f aca="false">IF($A22="","",IFERROR(INDEX('INVENTORY MASTER'!$W$4:$W$63,MATCH($A22,'INVENTORY MASTER'!$A$4:$A$63,0)),""))</f>
        <v/>
      </c>
      <c r="N22" s="24" t="str">
        <f aca="false">IF($A22="","",IFERROR(INDEX('INVENTORY MASTER'!$X$4:$X$63,MATCH($A22,'INVENTORY MASTER'!$A$4:$A$63,0)),""))</f>
        <v/>
      </c>
      <c r="O22" s="24" t="str">
        <f aca="false">IF($A22="","",IFERROR(INDEX('INVENTORY MASTER'!$Y$4:$Y$63,MATCH($A22,'INVENTORY MASTER'!$A$4:$A$63,0)),""))</f>
        <v/>
      </c>
      <c r="P22" s="17"/>
      <c r="Q22" s="18"/>
      <c r="R22" s="17"/>
      <c r="S22" s="24" t="str">
        <f aca="false">IF($A22="","",IFERROR(INDEX('INVENTORY MASTER'!$Z$4:$Z$63,MATCH($A22,'INVENTORY MASTER'!$A$4:$A$63,0)),""))</f>
        <v/>
      </c>
      <c r="T22" s="21" t="str">
        <f aca="false">IF($A22="","",IFERROR(INDEX('INVENTORY MASTER'!$AI$4:$AI$63,MATCH($A22,'INVENTORY MASTER'!$A$4:$A$63,0)),""))</f>
        <v/>
      </c>
      <c r="U22" s="21" t="str">
        <f aca="false">IF($A22="","",IFERROR(INDEX('INVENTORY MASTER'!$AM$4:$AM$63,MATCH($A22,'INVENTORY MASTER'!$A$4:$A$63,0)),""))</f>
        <v/>
      </c>
      <c r="V22" s="21" t="str">
        <f aca="false">IF($A22="","",IFERROR(INDEX('INVENTORY MASTER'!$AO$4:$AO$63,MATCH($A22,'INVENTORY MASTER'!$A$4:$A$63,0)),""))</f>
        <v/>
      </c>
      <c r="W22" s="24" t="str">
        <f aca="false">IF($A22="","",IFERROR(INDEX('INVENTORY MASTER'!$AS$4:$AS$63,MATCH($A22,'INVENTORY MASTER'!$A$4:$A$63,0)),""))</f>
        <v/>
      </c>
      <c r="X22" s="24" t="str">
        <f aca="false">IF($A22="","",IFERROR(INDEX('INVENTORY MASTER'!$AR$4:$AR$63,MATCH($A22,'INVENTORY MASTER'!$A$4:$A$63,0)),""))</f>
        <v/>
      </c>
      <c r="Y22" s="18"/>
    </row>
    <row r="23" customFormat="false" ht="15" hidden="false" customHeight="false" outlineLevel="0" collapsed="false">
      <c r="A23" s="18"/>
      <c r="B23" s="24" t="str">
        <f aca="false">IF($A23="","",IFERROR(INDEX('INVENTORY MASTER'!$G$4:$G$63,MATCH($A23,'INVENTORY MASTER'!$A$4:$A$63,0)),""))</f>
        <v/>
      </c>
      <c r="C23" s="24" t="str">
        <f aca="false">IF($A23="","",IFERROR(INDEX('INVENTORY MASTER'!$H$4:$H$63,MATCH($A23,'INVENTORY MASTER'!$A$4:$A$63,0)),""))</f>
        <v/>
      </c>
      <c r="D23" s="24" t="str">
        <f aca="false">IF($A23="","",IFERROR(INDEX('INVENTORY MASTER'!$I$4:$I$63,MATCH($A23,'INVENTORY MASTER'!$A$4:$A$63,0)),""))</f>
        <v/>
      </c>
      <c r="E23" s="24" t="str">
        <f aca="false">IF($A23="","",IFERROR(INDEX('INVENTORY MASTER'!$J$4:$J$63,MATCH($A23,'INVENTORY MASTER'!$A$4:$A$63,0)),""))</f>
        <v/>
      </c>
      <c r="F23" s="24" t="str">
        <f aca="false">IF($A23="","",IFERROR(INDEX('INVENTORY MASTER'!$V$4:$V$63,MATCH($A23,'INVENTORY MASTER'!$A$4:$A$63,0)),""))</f>
        <v/>
      </c>
      <c r="G23" s="24" t="str">
        <f aca="false">IF($A23="","",IFERROR(INDEX('INVENTORY MASTER'!$T$4:$T$63,MATCH($A23,'INVENTORY MASTER'!$A$4:$A$63,0)),""))</f>
        <v/>
      </c>
      <c r="H23" s="18"/>
      <c r="I23" s="18"/>
      <c r="J23" s="18"/>
      <c r="K23" s="24" t="str">
        <f aca="false">IF($A23="","",IFERROR(INDEX('INVENTORY MASTER'!$U$4:$U$63,MATCH($A23,'INVENTORY MASTER'!$A$4:$A$63,0)),""))</f>
        <v/>
      </c>
      <c r="L23" s="24" t="str">
        <f aca="false">IF($A23="","",IFERROR(INDEX('INVENTORY MASTER'!$U$4:$U$63,MATCH($A23,'INVENTORY MASTER'!$A$4:$A$63,0)),""))</f>
        <v/>
      </c>
      <c r="M23" s="24" t="str">
        <f aca="false">IF($A23="","",IFERROR(INDEX('INVENTORY MASTER'!$W$4:$W$63,MATCH($A23,'INVENTORY MASTER'!$A$4:$A$63,0)),""))</f>
        <v/>
      </c>
      <c r="N23" s="24" t="str">
        <f aca="false">IF($A23="","",IFERROR(INDEX('INVENTORY MASTER'!$X$4:$X$63,MATCH($A23,'INVENTORY MASTER'!$A$4:$A$63,0)),""))</f>
        <v/>
      </c>
      <c r="O23" s="24" t="str">
        <f aca="false">IF($A23="","",IFERROR(INDEX('INVENTORY MASTER'!$Y$4:$Y$63,MATCH($A23,'INVENTORY MASTER'!$A$4:$A$63,0)),""))</f>
        <v/>
      </c>
      <c r="P23" s="17"/>
      <c r="Q23" s="18"/>
      <c r="R23" s="17"/>
      <c r="S23" s="24" t="str">
        <f aca="false">IF($A23="","",IFERROR(INDEX('INVENTORY MASTER'!$Z$4:$Z$63,MATCH($A23,'INVENTORY MASTER'!$A$4:$A$63,0)),""))</f>
        <v/>
      </c>
      <c r="T23" s="21" t="str">
        <f aca="false">IF($A23="","",IFERROR(INDEX('INVENTORY MASTER'!$AI$4:$AI$63,MATCH($A23,'INVENTORY MASTER'!$A$4:$A$63,0)),""))</f>
        <v/>
      </c>
      <c r="U23" s="21" t="str">
        <f aca="false">IF($A23="","",IFERROR(INDEX('INVENTORY MASTER'!$AM$4:$AM$63,MATCH($A23,'INVENTORY MASTER'!$A$4:$A$63,0)),""))</f>
        <v/>
      </c>
      <c r="V23" s="21" t="str">
        <f aca="false">IF($A23="","",IFERROR(INDEX('INVENTORY MASTER'!$AO$4:$AO$63,MATCH($A23,'INVENTORY MASTER'!$A$4:$A$63,0)),""))</f>
        <v/>
      </c>
      <c r="W23" s="24" t="str">
        <f aca="false">IF($A23="","",IFERROR(INDEX('INVENTORY MASTER'!$AS$4:$AS$63,MATCH($A23,'INVENTORY MASTER'!$A$4:$A$63,0)),""))</f>
        <v/>
      </c>
      <c r="X23" s="24" t="str">
        <f aca="false">IF($A23="","",IFERROR(INDEX('INVENTORY MASTER'!$AR$4:$AR$63,MATCH($A23,'INVENTORY MASTER'!$A$4:$A$63,0)),""))</f>
        <v/>
      </c>
      <c r="Y23" s="18"/>
    </row>
    <row r="24" customFormat="false" ht="15" hidden="false" customHeight="false" outlineLevel="0" collapsed="false">
      <c r="A24" s="18"/>
      <c r="B24" s="24" t="str">
        <f aca="false">IF($A24="","",IFERROR(INDEX('INVENTORY MASTER'!$G$4:$G$63,MATCH($A24,'INVENTORY MASTER'!$A$4:$A$63,0)),""))</f>
        <v/>
      </c>
      <c r="C24" s="24" t="str">
        <f aca="false">IF($A24="","",IFERROR(INDEX('INVENTORY MASTER'!$H$4:$H$63,MATCH($A24,'INVENTORY MASTER'!$A$4:$A$63,0)),""))</f>
        <v/>
      </c>
      <c r="D24" s="24" t="str">
        <f aca="false">IF($A24="","",IFERROR(INDEX('INVENTORY MASTER'!$I$4:$I$63,MATCH($A24,'INVENTORY MASTER'!$A$4:$A$63,0)),""))</f>
        <v/>
      </c>
      <c r="E24" s="24" t="str">
        <f aca="false">IF($A24="","",IFERROR(INDEX('INVENTORY MASTER'!$J$4:$J$63,MATCH($A24,'INVENTORY MASTER'!$A$4:$A$63,0)),""))</f>
        <v/>
      </c>
      <c r="F24" s="24" t="str">
        <f aca="false">IF($A24="","",IFERROR(INDEX('INVENTORY MASTER'!$V$4:$V$63,MATCH($A24,'INVENTORY MASTER'!$A$4:$A$63,0)),""))</f>
        <v/>
      </c>
      <c r="G24" s="24" t="str">
        <f aca="false">IF($A24="","",IFERROR(INDEX('INVENTORY MASTER'!$T$4:$T$63,MATCH($A24,'INVENTORY MASTER'!$A$4:$A$63,0)),""))</f>
        <v/>
      </c>
      <c r="H24" s="18"/>
      <c r="I24" s="18"/>
      <c r="J24" s="18"/>
      <c r="K24" s="24" t="str">
        <f aca="false">IF($A24="","",IFERROR(INDEX('INVENTORY MASTER'!$U$4:$U$63,MATCH($A24,'INVENTORY MASTER'!$A$4:$A$63,0)),""))</f>
        <v/>
      </c>
      <c r="L24" s="24" t="str">
        <f aca="false">IF($A24="","",IFERROR(INDEX('INVENTORY MASTER'!$U$4:$U$63,MATCH($A24,'INVENTORY MASTER'!$A$4:$A$63,0)),""))</f>
        <v/>
      </c>
      <c r="M24" s="24" t="str">
        <f aca="false">IF($A24="","",IFERROR(INDEX('INVENTORY MASTER'!$W$4:$W$63,MATCH($A24,'INVENTORY MASTER'!$A$4:$A$63,0)),""))</f>
        <v/>
      </c>
      <c r="N24" s="24" t="str">
        <f aca="false">IF($A24="","",IFERROR(INDEX('INVENTORY MASTER'!$X$4:$X$63,MATCH($A24,'INVENTORY MASTER'!$A$4:$A$63,0)),""))</f>
        <v/>
      </c>
      <c r="O24" s="24" t="str">
        <f aca="false">IF($A24="","",IFERROR(INDEX('INVENTORY MASTER'!$Y$4:$Y$63,MATCH($A24,'INVENTORY MASTER'!$A$4:$A$63,0)),""))</f>
        <v/>
      </c>
      <c r="P24" s="17"/>
      <c r="Q24" s="18"/>
      <c r="R24" s="17"/>
      <c r="S24" s="24" t="str">
        <f aca="false">IF($A24="","",IFERROR(INDEX('INVENTORY MASTER'!$Z$4:$Z$63,MATCH($A24,'INVENTORY MASTER'!$A$4:$A$63,0)),""))</f>
        <v/>
      </c>
      <c r="T24" s="21" t="str">
        <f aca="false">IF($A24="","",IFERROR(INDEX('INVENTORY MASTER'!$AI$4:$AI$63,MATCH($A24,'INVENTORY MASTER'!$A$4:$A$63,0)),""))</f>
        <v/>
      </c>
      <c r="U24" s="21" t="str">
        <f aca="false">IF($A24="","",IFERROR(INDEX('INVENTORY MASTER'!$AM$4:$AM$63,MATCH($A24,'INVENTORY MASTER'!$A$4:$A$63,0)),""))</f>
        <v/>
      </c>
      <c r="V24" s="21" t="str">
        <f aca="false">IF($A24="","",IFERROR(INDEX('INVENTORY MASTER'!$AO$4:$AO$63,MATCH($A24,'INVENTORY MASTER'!$A$4:$A$63,0)),""))</f>
        <v/>
      </c>
      <c r="W24" s="24" t="str">
        <f aca="false">IF($A24="","",IFERROR(INDEX('INVENTORY MASTER'!$AS$4:$AS$63,MATCH($A24,'INVENTORY MASTER'!$A$4:$A$63,0)),""))</f>
        <v/>
      </c>
      <c r="X24" s="24" t="str">
        <f aca="false">IF($A24="","",IFERROR(INDEX('INVENTORY MASTER'!$AR$4:$AR$63,MATCH($A24,'INVENTORY MASTER'!$A$4:$A$63,0)),""))</f>
        <v/>
      </c>
      <c r="Y24" s="18"/>
    </row>
    <row r="25" customFormat="false" ht="15" hidden="false" customHeight="false" outlineLevel="0" collapsed="false">
      <c r="A25" s="18"/>
      <c r="B25" s="24" t="str">
        <f aca="false">IF($A25="","",IFERROR(INDEX('INVENTORY MASTER'!$G$4:$G$63,MATCH($A25,'INVENTORY MASTER'!$A$4:$A$63,0)),""))</f>
        <v/>
      </c>
      <c r="C25" s="24" t="str">
        <f aca="false">IF($A25="","",IFERROR(INDEX('INVENTORY MASTER'!$H$4:$H$63,MATCH($A25,'INVENTORY MASTER'!$A$4:$A$63,0)),""))</f>
        <v/>
      </c>
      <c r="D25" s="24" t="str">
        <f aca="false">IF($A25="","",IFERROR(INDEX('INVENTORY MASTER'!$I$4:$I$63,MATCH($A25,'INVENTORY MASTER'!$A$4:$A$63,0)),""))</f>
        <v/>
      </c>
      <c r="E25" s="24" t="str">
        <f aca="false">IF($A25="","",IFERROR(INDEX('INVENTORY MASTER'!$J$4:$J$63,MATCH($A25,'INVENTORY MASTER'!$A$4:$A$63,0)),""))</f>
        <v/>
      </c>
      <c r="F25" s="24" t="str">
        <f aca="false">IF($A25="","",IFERROR(INDEX('INVENTORY MASTER'!$V$4:$V$63,MATCH($A25,'INVENTORY MASTER'!$A$4:$A$63,0)),""))</f>
        <v/>
      </c>
      <c r="G25" s="24" t="str">
        <f aca="false">IF($A25="","",IFERROR(INDEX('INVENTORY MASTER'!$T$4:$T$63,MATCH($A25,'INVENTORY MASTER'!$A$4:$A$63,0)),""))</f>
        <v/>
      </c>
      <c r="H25" s="18"/>
      <c r="I25" s="18"/>
      <c r="J25" s="18"/>
      <c r="K25" s="24" t="str">
        <f aca="false">IF($A25="","",IFERROR(INDEX('INVENTORY MASTER'!$U$4:$U$63,MATCH($A25,'INVENTORY MASTER'!$A$4:$A$63,0)),""))</f>
        <v/>
      </c>
      <c r="L25" s="24" t="str">
        <f aca="false">IF($A25="","",IFERROR(INDEX('INVENTORY MASTER'!$U$4:$U$63,MATCH($A25,'INVENTORY MASTER'!$A$4:$A$63,0)),""))</f>
        <v/>
      </c>
      <c r="M25" s="24" t="str">
        <f aca="false">IF($A25="","",IFERROR(INDEX('INVENTORY MASTER'!$W$4:$W$63,MATCH($A25,'INVENTORY MASTER'!$A$4:$A$63,0)),""))</f>
        <v/>
      </c>
      <c r="N25" s="24" t="str">
        <f aca="false">IF($A25="","",IFERROR(INDEX('INVENTORY MASTER'!$X$4:$X$63,MATCH($A25,'INVENTORY MASTER'!$A$4:$A$63,0)),""))</f>
        <v/>
      </c>
      <c r="O25" s="24" t="str">
        <f aca="false">IF($A25="","",IFERROR(INDEX('INVENTORY MASTER'!$Y$4:$Y$63,MATCH($A25,'INVENTORY MASTER'!$A$4:$A$63,0)),""))</f>
        <v/>
      </c>
      <c r="P25" s="17"/>
      <c r="Q25" s="18"/>
      <c r="R25" s="17"/>
      <c r="S25" s="24" t="str">
        <f aca="false">IF($A25="","",IFERROR(INDEX('INVENTORY MASTER'!$Z$4:$Z$63,MATCH($A25,'INVENTORY MASTER'!$A$4:$A$63,0)),""))</f>
        <v/>
      </c>
      <c r="T25" s="21" t="str">
        <f aca="false">IF($A25="","",IFERROR(INDEX('INVENTORY MASTER'!$AI$4:$AI$63,MATCH($A25,'INVENTORY MASTER'!$A$4:$A$63,0)),""))</f>
        <v/>
      </c>
      <c r="U25" s="21" t="str">
        <f aca="false">IF($A25="","",IFERROR(INDEX('INVENTORY MASTER'!$AM$4:$AM$63,MATCH($A25,'INVENTORY MASTER'!$A$4:$A$63,0)),""))</f>
        <v/>
      </c>
      <c r="V25" s="21" t="str">
        <f aca="false">IF($A25="","",IFERROR(INDEX('INVENTORY MASTER'!$AO$4:$AO$63,MATCH($A25,'INVENTORY MASTER'!$A$4:$A$63,0)),""))</f>
        <v/>
      </c>
      <c r="W25" s="24" t="str">
        <f aca="false">IF($A25="","",IFERROR(INDEX('INVENTORY MASTER'!$AS$4:$AS$63,MATCH($A25,'INVENTORY MASTER'!$A$4:$A$63,0)),""))</f>
        <v/>
      </c>
      <c r="X25" s="24" t="str">
        <f aca="false">IF($A25="","",IFERROR(INDEX('INVENTORY MASTER'!$AR$4:$AR$63,MATCH($A25,'INVENTORY MASTER'!$A$4:$A$63,0)),""))</f>
        <v/>
      </c>
      <c r="Y25" s="18"/>
    </row>
    <row r="26" customFormat="false" ht="15" hidden="false" customHeight="false" outlineLevel="0" collapsed="false">
      <c r="A26" s="18"/>
      <c r="B26" s="24" t="str">
        <f aca="false">IF($A26="","",IFERROR(INDEX('INVENTORY MASTER'!$G$4:$G$63,MATCH($A26,'INVENTORY MASTER'!$A$4:$A$63,0)),""))</f>
        <v/>
      </c>
      <c r="C26" s="24" t="str">
        <f aca="false">IF($A26="","",IFERROR(INDEX('INVENTORY MASTER'!$H$4:$H$63,MATCH($A26,'INVENTORY MASTER'!$A$4:$A$63,0)),""))</f>
        <v/>
      </c>
      <c r="D26" s="24" t="str">
        <f aca="false">IF($A26="","",IFERROR(INDEX('INVENTORY MASTER'!$I$4:$I$63,MATCH($A26,'INVENTORY MASTER'!$A$4:$A$63,0)),""))</f>
        <v/>
      </c>
      <c r="E26" s="24" t="str">
        <f aca="false">IF($A26="","",IFERROR(INDEX('INVENTORY MASTER'!$J$4:$J$63,MATCH($A26,'INVENTORY MASTER'!$A$4:$A$63,0)),""))</f>
        <v/>
      </c>
      <c r="F26" s="24" t="str">
        <f aca="false">IF($A26="","",IFERROR(INDEX('INVENTORY MASTER'!$V$4:$V$63,MATCH($A26,'INVENTORY MASTER'!$A$4:$A$63,0)),""))</f>
        <v/>
      </c>
      <c r="G26" s="24" t="str">
        <f aca="false">IF($A26="","",IFERROR(INDEX('INVENTORY MASTER'!$T$4:$T$63,MATCH($A26,'INVENTORY MASTER'!$A$4:$A$63,0)),""))</f>
        <v/>
      </c>
      <c r="H26" s="18"/>
      <c r="I26" s="18"/>
      <c r="J26" s="18"/>
      <c r="K26" s="24" t="str">
        <f aca="false">IF($A26="","",IFERROR(INDEX('INVENTORY MASTER'!$U$4:$U$63,MATCH($A26,'INVENTORY MASTER'!$A$4:$A$63,0)),""))</f>
        <v/>
      </c>
      <c r="L26" s="24" t="str">
        <f aca="false">IF($A26="","",IFERROR(INDEX('INVENTORY MASTER'!$U$4:$U$63,MATCH($A26,'INVENTORY MASTER'!$A$4:$A$63,0)),""))</f>
        <v/>
      </c>
      <c r="M26" s="24" t="str">
        <f aca="false">IF($A26="","",IFERROR(INDEX('INVENTORY MASTER'!$W$4:$W$63,MATCH($A26,'INVENTORY MASTER'!$A$4:$A$63,0)),""))</f>
        <v/>
      </c>
      <c r="N26" s="24" t="str">
        <f aca="false">IF($A26="","",IFERROR(INDEX('INVENTORY MASTER'!$X$4:$X$63,MATCH($A26,'INVENTORY MASTER'!$A$4:$A$63,0)),""))</f>
        <v/>
      </c>
      <c r="O26" s="24" t="str">
        <f aca="false">IF($A26="","",IFERROR(INDEX('INVENTORY MASTER'!$Y$4:$Y$63,MATCH($A26,'INVENTORY MASTER'!$A$4:$A$63,0)),""))</f>
        <v/>
      </c>
      <c r="P26" s="17"/>
      <c r="Q26" s="18"/>
      <c r="R26" s="17"/>
      <c r="S26" s="24" t="str">
        <f aca="false">IF($A26="","",IFERROR(INDEX('INVENTORY MASTER'!$Z$4:$Z$63,MATCH($A26,'INVENTORY MASTER'!$A$4:$A$63,0)),""))</f>
        <v/>
      </c>
      <c r="T26" s="21" t="str">
        <f aca="false">IF($A26="","",IFERROR(INDEX('INVENTORY MASTER'!$AI$4:$AI$63,MATCH($A26,'INVENTORY MASTER'!$A$4:$A$63,0)),""))</f>
        <v/>
      </c>
      <c r="U26" s="21" t="str">
        <f aca="false">IF($A26="","",IFERROR(INDEX('INVENTORY MASTER'!$AM$4:$AM$63,MATCH($A26,'INVENTORY MASTER'!$A$4:$A$63,0)),""))</f>
        <v/>
      </c>
      <c r="V26" s="21" t="str">
        <f aca="false">IF($A26="","",IFERROR(INDEX('INVENTORY MASTER'!$AO$4:$AO$63,MATCH($A26,'INVENTORY MASTER'!$A$4:$A$63,0)),""))</f>
        <v/>
      </c>
      <c r="W26" s="24" t="str">
        <f aca="false">IF($A26="","",IFERROR(INDEX('INVENTORY MASTER'!$AS$4:$AS$63,MATCH($A26,'INVENTORY MASTER'!$A$4:$A$63,0)),""))</f>
        <v/>
      </c>
      <c r="X26" s="24" t="str">
        <f aca="false">IF($A26="","",IFERROR(INDEX('INVENTORY MASTER'!$AR$4:$AR$63,MATCH($A26,'INVENTORY MASTER'!$A$4:$A$63,0)),""))</f>
        <v/>
      </c>
      <c r="Y26" s="18"/>
    </row>
    <row r="27" customFormat="false" ht="15" hidden="false" customHeight="false" outlineLevel="0" collapsed="false">
      <c r="A27" s="18"/>
      <c r="B27" s="24" t="str">
        <f aca="false">IF($A27="","",IFERROR(INDEX('INVENTORY MASTER'!$G$4:$G$63,MATCH($A27,'INVENTORY MASTER'!$A$4:$A$63,0)),""))</f>
        <v/>
      </c>
      <c r="C27" s="24" t="str">
        <f aca="false">IF($A27="","",IFERROR(INDEX('INVENTORY MASTER'!$H$4:$H$63,MATCH($A27,'INVENTORY MASTER'!$A$4:$A$63,0)),""))</f>
        <v/>
      </c>
      <c r="D27" s="24" t="str">
        <f aca="false">IF($A27="","",IFERROR(INDEX('INVENTORY MASTER'!$I$4:$I$63,MATCH($A27,'INVENTORY MASTER'!$A$4:$A$63,0)),""))</f>
        <v/>
      </c>
      <c r="E27" s="24" t="str">
        <f aca="false">IF($A27="","",IFERROR(INDEX('INVENTORY MASTER'!$J$4:$J$63,MATCH($A27,'INVENTORY MASTER'!$A$4:$A$63,0)),""))</f>
        <v/>
      </c>
      <c r="F27" s="24" t="str">
        <f aca="false">IF($A27="","",IFERROR(INDEX('INVENTORY MASTER'!$V$4:$V$63,MATCH($A27,'INVENTORY MASTER'!$A$4:$A$63,0)),""))</f>
        <v/>
      </c>
      <c r="G27" s="24" t="str">
        <f aca="false">IF($A27="","",IFERROR(INDEX('INVENTORY MASTER'!$T$4:$T$63,MATCH($A27,'INVENTORY MASTER'!$A$4:$A$63,0)),""))</f>
        <v/>
      </c>
      <c r="H27" s="18"/>
      <c r="I27" s="18"/>
      <c r="J27" s="18"/>
      <c r="K27" s="24" t="str">
        <f aca="false">IF($A27="","",IFERROR(INDEX('INVENTORY MASTER'!$U$4:$U$63,MATCH($A27,'INVENTORY MASTER'!$A$4:$A$63,0)),""))</f>
        <v/>
      </c>
      <c r="L27" s="24" t="str">
        <f aca="false">IF($A27="","",IFERROR(INDEX('INVENTORY MASTER'!$U$4:$U$63,MATCH($A27,'INVENTORY MASTER'!$A$4:$A$63,0)),""))</f>
        <v/>
      </c>
      <c r="M27" s="24" t="str">
        <f aca="false">IF($A27="","",IFERROR(INDEX('INVENTORY MASTER'!$W$4:$W$63,MATCH($A27,'INVENTORY MASTER'!$A$4:$A$63,0)),""))</f>
        <v/>
      </c>
      <c r="N27" s="24" t="str">
        <f aca="false">IF($A27="","",IFERROR(INDEX('INVENTORY MASTER'!$X$4:$X$63,MATCH($A27,'INVENTORY MASTER'!$A$4:$A$63,0)),""))</f>
        <v/>
      </c>
      <c r="O27" s="24" t="str">
        <f aca="false">IF($A27="","",IFERROR(INDEX('INVENTORY MASTER'!$Y$4:$Y$63,MATCH($A27,'INVENTORY MASTER'!$A$4:$A$63,0)),""))</f>
        <v/>
      </c>
      <c r="P27" s="17"/>
      <c r="Q27" s="18"/>
      <c r="R27" s="17"/>
      <c r="S27" s="24" t="str">
        <f aca="false">IF($A27="","",IFERROR(INDEX('INVENTORY MASTER'!$Z$4:$Z$63,MATCH($A27,'INVENTORY MASTER'!$A$4:$A$63,0)),""))</f>
        <v/>
      </c>
      <c r="T27" s="21" t="str">
        <f aca="false">IF($A27="","",IFERROR(INDEX('INVENTORY MASTER'!$AI$4:$AI$63,MATCH($A27,'INVENTORY MASTER'!$A$4:$A$63,0)),""))</f>
        <v/>
      </c>
      <c r="U27" s="21" t="str">
        <f aca="false">IF($A27="","",IFERROR(INDEX('INVENTORY MASTER'!$AM$4:$AM$63,MATCH($A27,'INVENTORY MASTER'!$A$4:$A$63,0)),""))</f>
        <v/>
      </c>
      <c r="V27" s="21" t="str">
        <f aca="false">IF($A27="","",IFERROR(INDEX('INVENTORY MASTER'!$AO$4:$AO$63,MATCH($A27,'INVENTORY MASTER'!$A$4:$A$63,0)),""))</f>
        <v/>
      </c>
      <c r="W27" s="24" t="str">
        <f aca="false">IF($A27="","",IFERROR(INDEX('INVENTORY MASTER'!$AS$4:$AS$63,MATCH($A27,'INVENTORY MASTER'!$A$4:$A$63,0)),""))</f>
        <v/>
      </c>
      <c r="X27" s="24" t="str">
        <f aca="false">IF($A27="","",IFERROR(INDEX('INVENTORY MASTER'!$AR$4:$AR$63,MATCH($A27,'INVENTORY MASTER'!$A$4:$A$63,0)),""))</f>
        <v/>
      </c>
      <c r="Y27" s="18"/>
    </row>
    <row r="28" customFormat="false" ht="15" hidden="false" customHeight="false" outlineLevel="0" collapsed="false">
      <c r="A28" s="18"/>
      <c r="B28" s="24" t="str">
        <f aca="false">IF($A28="","",IFERROR(INDEX('INVENTORY MASTER'!$G$4:$G$63,MATCH($A28,'INVENTORY MASTER'!$A$4:$A$63,0)),""))</f>
        <v/>
      </c>
      <c r="C28" s="24" t="str">
        <f aca="false">IF($A28="","",IFERROR(INDEX('INVENTORY MASTER'!$H$4:$H$63,MATCH($A28,'INVENTORY MASTER'!$A$4:$A$63,0)),""))</f>
        <v/>
      </c>
      <c r="D28" s="24" t="str">
        <f aca="false">IF($A28="","",IFERROR(INDEX('INVENTORY MASTER'!$I$4:$I$63,MATCH($A28,'INVENTORY MASTER'!$A$4:$A$63,0)),""))</f>
        <v/>
      </c>
      <c r="E28" s="24" t="str">
        <f aca="false">IF($A28="","",IFERROR(INDEX('INVENTORY MASTER'!$J$4:$J$63,MATCH($A28,'INVENTORY MASTER'!$A$4:$A$63,0)),""))</f>
        <v/>
      </c>
      <c r="F28" s="24" t="str">
        <f aca="false">IF($A28="","",IFERROR(INDEX('INVENTORY MASTER'!$V$4:$V$63,MATCH($A28,'INVENTORY MASTER'!$A$4:$A$63,0)),""))</f>
        <v/>
      </c>
      <c r="G28" s="24" t="str">
        <f aca="false">IF($A28="","",IFERROR(INDEX('INVENTORY MASTER'!$T$4:$T$63,MATCH($A28,'INVENTORY MASTER'!$A$4:$A$63,0)),""))</f>
        <v/>
      </c>
      <c r="H28" s="18"/>
      <c r="I28" s="18"/>
      <c r="J28" s="18"/>
      <c r="K28" s="24" t="str">
        <f aca="false">IF($A28="","",IFERROR(INDEX('INVENTORY MASTER'!$U$4:$U$63,MATCH($A28,'INVENTORY MASTER'!$A$4:$A$63,0)),""))</f>
        <v/>
      </c>
      <c r="L28" s="24" t="str">
        <f aca="false">IF($A28="","",IFERROR(INDEX('INVENTORY MASTER'!$U$4:$U$63,MATCH($A28,'INVENTORY MASTER'!$A$4:$A$63,0)),""))</f>
        <v/>
      </c>
      <c r="M28" s="24" t="str">
        <f aca="false">IF($A28="","",IFERROR(INDEX('INVENTORY MASTER'!$W$4:$W$63,MATCH($A28,'INVENTORY MASTER'!$A$4:$A$63,0)),""))</f>
        <v/>
      </c>
      <c r="N28" s="24" t="str">
        <f aca="false">IF($A28="","",IFERROR(INDEX('INVENTORY MASTER'!$X$4:$X$63,MATCH($A28,'INVENTORY MASTER'!$A$4:$A$63,0)),""))</f>
        <v/>
      </c>
      <c r="O28" s="24" t="str">
        <f aca="false">IF($A28="","",IFERROR(INDEX('INVENTORY MASTER'!$Y$4:$Y$63,MATCH($A28,'INVENTORY MASTER'!$A$4:$A$63,0)),""))</f>
        <v/>
      </c>
      <c r="P28" s="17"/>
      <c r="Q28" s="18"/>
      <c r="R28" s="17"/>
      <c r="S28" s="24" t="str">
        <f aca="false">IF($A28="","",IFERROR(INDEX('INVENTORY MASTER'!$Z$4:$Z$63,MATCH($A28,'INVENTORY MASTER'!$A$4:$A$63,0)),""))</f>
        <v/>
      </c>
      <c r="T28" s="21" t="str">
        <f aca="false">IF($A28="","",IFERROR(INDEX('INVENTORY MASTER'!$AI$4:$AI$63,MATCH($A28,'INVENTORY MASTER'!$A$4:$A$63,0)),""))</f>
        <v/>
      </c>
      <c r="U28" s="21" t="str">
        <f aca="false">IF($A28="","",IFERROR(INDEX('INVENTORY MASTER'!$AM$4:$AM$63,MATCH($A28,'INVENTORY MASTER'!$A$4:$A$63,0)),""))</f>
        <v/>
      </c>
      <c r="V28" s="21" t="str">
        <f aca="false">IF($A28="","",IFERROR(INDEX('INVENTORY MASTER'!$AO$4:$AO$63,MATCH($A28,'INVENTORY MASTER'!$A$4:$A$63,0)),""))</f>
        <v/>
      </c>
      <c r="W28" s="24" t="str">
        <f aca="false">IF($A28="","",IFERROR(INDEX('INVENTORY MASTER'!$AS$4:$AS$63,MATCH($A28,'INVENTORY MASTER'!$A$4:$A$63,0)),""))</f>
        <v/>
      </c>
      <c r="X28" s="24" t="str">
        <f aca="false">IF($A28="","",IFERROR(INDEX('INVENTORY MASTER'!$AR$4:$AR$63,MATCH($A28,'INVENTORY MASTER'!$A$4:$A$63,0)),""))</f>
        <v/>
      </c>
      <c r="Y28" s="18"/>
    </row>
    <row r="29" customFormat="false" ht="15" hidden="false" customHeight="false" outlineLevel="0" collapsed="false">
      <c r="A29" s="18"/>
      <c r="B29" s="24" t="str">
        <f aca="false">IF($A29="","",IFERROR(INDEX('INVENTORY MASTER'!$G$4:$G$63,MATCH($A29,'INVENTORY MASTER'!$A$4:$A$63,0)),""))</f>
        <v/>
      </c>
      <c r="C29" s="24" t="str">
        <f aca="false">IF($A29="","",IFERROR(INDEX('INVENTORY MASTER'!$H$4:$H$63,MATCH($A29,'INVENTORY MASTER'!$A$4:$A$63,0)),""))</f>
        <v/>
      </c>
      <c r="D29" s="24" t="str">
        <f aca="false">IF($A29="","",IFERROR(INDEX('INVENTORY MASTER'!$I$4:$I$63,MATCH($A29,'INVENTORY MASTER'!$A$4:$A$63,0)),""))</f>
        <v/>
      </c>
      <c r="E29" s="24" t="str">
        <f aca="false">IF($A29="","",IFERROR(INDEX('INVENTORY MASTER'!$J$4:$J$63,MATCH($A29,'INVENTORY MASTER'!$A$4:$A$63,0)),""))</f>
        <v/>
      </c>
      <c r="F29" s="24" t="str">
        <f aca="false">IF($A29="","",IFERROR(INDEX('INVENTORY MASTER'!$V$4:$V$63,MATCH($A29,'INVENTORY MASTER'!$A$4:$A$63,0)),""))</f>
        <v/>
      </c>
      <c r="G29" s="24" t="str">
        <f aca="false">IF($A29="","",IFERROR(INDEX('INVENTORY MASTER'!$T$4:$T$63,MATCH($A29,'INVENTORY MASTER'!$A$4:$A$63,0)),""))</f>
        <v/>
      </c>
      <c r="H29" s="18"/>
      <c r="I29" s="18"/>
      <c r="J29" s="18"/>
      <c r="K29" s="24" t="str">
        <f aca="false">IF($A29="","",IFERROR(INDEX('INVENTORY MASTER'!$U$4:$U$63,MATCH($A29,'INVENTORY MASTER'!$A$4:$A$63,0)),""))</f>
        <v/>
      </c>
      <c r="L29" s="24" t="str">
        <f aca="false">IF($A29="","",IFERROR(INDEX('INVENTORY MASTER'!$U$4:$U$63,MATCH($A29,'INVENTORY MASTER'!$A$4:$A$63,0)),""))</f>
        <v/>
      </c>
      <c r="M29" s="24" t="str">
        <f aca="false">IF($A29="","",IFERROR(INDEX('INVENTORY MASTER'!$W$4:$W$63,MATCH($A29,'INVENTORY MASTER'!$A$4:$A$63,0)),""))</f>
        <v/>
      </c>
      <c r="N29" s="24" t="str">
        <f aca="false">IF($A29="","",IFERROR(INDEX('INVENTORY MASTER'!$X$4:$X$63,MATCH($A29,'INVENTORY MASTER'!$A$4:$A$63,0)),""))</f>
        <v/>
      </c>
      <c r="O29" s="24" t="str">
        <f aca="false">IF($A29="","",IFERROR(INDEX('INVENTORY MASTER'!$Y$4:$Y$63,MATCH($A29,'INVENTORY MASTER'!$A$4:$A$63,0)),""))</f>
        <v/>
      </c>
      <c r="P29" s="17"/>
      <c r="Q29" s="18"/>
      <c r="R29" s="17"/>
      <c r="S29" s="24" t="str">
        <f aca="false">IF($A29="","",IFERROR(INDEX('INVENTORY MASTER'!$Z$4:$Z$63,MATCH($A29,'INVENTORY MASTER'!$A$4:$A$63,0)),""))</f>
        <v/>
      </c>
      <c r="T29" s="21" t="str">
        <f aca="false">IF($A29="","",IFERROR(INDEX('INVENTORY MASTER'!$AI$4:$AI$63,MATCH($A29,'INVENTORY MASTER'!$A$4:$A$63,0)),""))</f>
        <v/>
      </c>
      <c r="U29" s="21" t="str">
        <f aca="false">IF($A29="","",IFERROR(INDEX('INVENTORY MASTER'!$AM$4:$AM$63,MATCH($A29,'INVENTORY MASTER'!$A$4:$A$63,0)),""))</f>
        <v/>
      </c>
      <c r="V29" s="21" t="str">
        <f aca="false">IF($A29="","",IFERROR(INDEX('INVENTORY MASTER'!$AO$4:$AO$63,MATCH($A29,'INVENTORY MASTER'!$A$4:$A$63,0)),""))</f>
        <v/>
      </c>
      <c r="W29" s="24" t="str">
        <f aca="false">IF($A29="","",IFERROR(INDEX('INVENTORY MASTER'!$AS$4:$AS$63,MATCH($A29,'INVENTORY MASTER'!$A$4:$A$63,0)),""))</f>
        <v/>
      </c>
      <c r="X29" s="24" t="str">
        <f aca="false">IF($A29="","",IFERROR(INDEX('INVENTORY MASTER'!$AR$4:$AR$63,MATCH($A29,'INVENTORY MASTER'!$A$4:$A$63,0)),""))</f>
        <v/>
      </c>
      <c r="Y29" s="18"/>
    </row>
    <row r="30" customFormat="false" ht="15" hidden="false" customHeight="false" outlineLevel="0" collapsed="false">
      <c r="A30" s="18"/>
      <c r="B30" s="24" t="str">
        <f aca="false">IF($A30="","",IFERROR(INDEX('INVENTORY MASTER'!$G$4:$G$63,MATCH($A30,'INVENTORY MASTER'!$A$4:$A$63,0)),""))</f>
        <v/>
      </c>
      <c r="C30" s="24" t="str">
        <f aca="false">IF($A30="","",IFERROR(INDEX('INVENTORY MASTER'!$H$4:$H$63,MATCH($A30,'INVENTORY MASTER'!$A$4:$A$63,0)),""))</f>
        <v/>
      </c>
      <c r="D30" s="24" t="str">
        <f aca="false">IF($A30="","",IFERROR(INDEX('INVENTORY MASTER'!$I$4:$I$63,MATCH($A30,'INVENTORY MASTER'!$A$4:$A$63,0)),""))</f>
        <v/>
      </c>
      <c r="E30" s="24" t="str">
        <f aca="false">IF($A30="","",IFERROR(INDEX('INVENTORY MASTER'!$J$4:$J$63,MATCH($A30,'INVENTORY MASTER'!$A$4:$A$63,0)),""))</f>
        <v/>
      </c>
      <c r="F30" s="24" t="str">
        <f aca="false">IF($A30="","",IFERROR(INDEX('INVENTORY MASTER'!$V$4:$V$63,MATCH($A30,'INVENTORY MASTER'!$A$4:$A$63,0)),""))</f>
        <v/>
      </c>
      <c r="G30" s="24" t="str">
        <f aca="false">IF($A30="","",IFERROR(INDEX('INVENTORY MASTER'!$T$4:$T$63,MATCH($A30,'INVENTORY MASTER'!$A$4:$A$63,0)),""))</f>
        <v/>
      </c>
      <c r="H30" s="18"/>
      <c r="I30" s="18"/>
      <c r="J30" s="18"/>
      <c r="K30" s="24" t="str">
        <f aca="false">IF($A30="","",IFERROR(INDEX('INVENTORY MASTER'!$U$4:$U$63,MATCH($A30,'INVENTORY MASTER'!$A$4:$A$63,0)),""))</f>
        <v/>
      </c>
      <c r="L30" s="24" t="str">
        <f aca="false">IF($A30="","",IFERROR(INDEX('INVENTORY MASTER'!$U$4:$U$63,MATCH($A30,'INVENTORY MASTER'!$A$4:$A$63,0)),""))</f>
        <v/>
      </c>
      <c r="M30" s="24" t="str">
        <f aca="false">IF($A30="","",IFERROR(INDEX('INVENTORY MASTER'!$W$4:$W$63,MATCH($A30,'INVENTORY MASTER'!$A$4:$A$63,0)),""))</f>
        <v/>
      </c>
      <c r="N30" s="24" t="str">
        <f aca="false">IF($A30="","",IFERROR(INDEX('INVENTORY MASTER'!$X$4:$X$63,MATCH($A30,'INVENTORY MASTER'!$A$4:$A$63,0)),""))</f>
        <v/>
      </c>
      <c r="O30" s="24" t="str">
        <f aca="false">IF($A30="","",IFERROR(INDEX('INVENTORY MASTER'!$Y$4:$Y$63,MATCH($A30,'INVENTORY MASTER'!$A$4:$A$63,0)),""))</f>
        <v/>
      </c>
      <c r="P30" s="17"/>
      <c r="Q30" s="18"/>
      <c r="R30" s="17"/>
      <c r="S30" s="24" t="str">
        <f aca="false">IF($A30="","",IFERROR(INDEX('INVENTORY MASTER'!$Z$4:$Z$63,MATCH($A30,'INVENTORY MASTER'!$A$4:$A$63,0)),""))</f>
        <v/>
      </c>
      <c r="T30" s="21" t="str">
        <f aca="false">IF($A30="","",IFERROR(INDEX('INVENTORY MASTER'!$AI$4:$AI$63,MATCH($A30,'INVENTORY MASTER'!$A$4:$A$63,0)),""))</f>
        <v/>
      </c>
      <c r="U30" s="21" t="str">
        <f aca="false">IF($A30="","",IFERROR(INDEX('INVENTORY MASTER'!$AM$4:$AM$63,MATCH($A30,'INVENTORY MASTER'!$A$4:$A$63,0)),""))</f>
        <v/>
      </c>
      <c r="V30" s="21" t="str">
        <f aca="false">IF($A30="","",IFERROR(INDEX('INVENTORY MASTER'!$AO$4:$AO$63,MATCH($A30,'INVENTORY MASTER'!$A$4:$A$63,0)),""))</f>
        <v/>
      </c>
      <c r="W30" s="24" t="str">
        <f aca="false">IF($A30="","",IFERROR(INDEX('INVENTORY MASTER'!$AS$4:$AS$63,MATCH($A30,'INVENTORY MASTER'!$A$4:$A$63,0)),""))</f>
        <v/>
      </c>
      <c r="X30" s="24" t="str">
        <f aca="false">IF($A30="","",IFERROR(INDEX('INVENTORY MASTER'!$AR$4:$AR$63,MATCH($A30,'INVENTORY MASTER'!$A$4:$A$63,0)),""))</f>
        <v/>
      </c>
      <c r="Y30" s="18"/>
    </row>
    <row r="31" customFormat="false" ht="15" hidden="false" customHeight="false" outlineLevel="0" collapsed="false">
      <c r="A31" s="18"/>
      <c r="B31" s="24" t="str">
        <f aca="false">IF($A31="","",IFERROR(INDEX('INVENTORY MASTER'!$G$4:$G$63,MATCH($A31,'INVENTORY MASTER'!$A$4:$A$63,0)),""))</f>
        <v/>
      </c>
      <c r="C31" s="24" t="str">
        <f aca="false">IF($A31="","",IFERROR(INDEX('INVENTORY MASTER'!$H$4:$H$63,MATCH($A31,'INVENTORY MASTER'!$A$4:$A$63,0)),""))</f>
        <v/>
      </c>
      <c r="D31" s="24" t="str">
        <f aca="false">IF($A31="","",IFERROR(INDEX('INVENTORY MASTER'!$I$4:$I$63,MATCH($A31,'INVENTORY MASTER'!$A$4:$A$63,0)),""))</f>
        <v/>
      </c>
      <c r="E31" s="24" t="str">
        <f aca="false">IF($A31="","",IFERROR(INDEX('INVENTORY MASTER'!$J$4:$J$63,MATCH($A31,'INVENTORY MASTER'!$A$4:$A$63,0)),""))</f>
        <v/>
      </c>
      <c r="F31" s="24" t="str">
        <f aca="false">IF($A31="","",IFERROR(INDEX('INVENTORY MASTER'!$V$4:$V$63,MATCH($A31,'INVENTORY MASTER'!$A$4:$A$63,0)),""))</f>
        <v/>
      </c>
      <c r="G31" s="24" t="str">
        <f aca="false">IF($A31="","",IFERROR(INDEX('INVENTORY MASTER'!$T$4:$T$63,MATCH($A31,'INVENTORY MASTER'!$A$4:$A$63,0)),""))</f>
        <v/>
      </c>
      <c r="H31" s="18"/>
      <c r="I31" s="18"/>
      <c r="J31" s="18"/>
      <c r="K31" s="24" t="str">
        <f aca="false">IF($A31="","",IFERROR(INDEX('INVENTORY MASTER'!$U$4:$U$63,MATCH($A31,'INVENTORY MASTER'!$A$4:$A$63,0)),""))</f>
        <v/>
      </c>
      <c r="L31" s="24" t="str">
        <f aca="false">IF($A31="","",IFERROR(INDEX('INVENTORY MASTER'!$U$4:$U$63,MATCH($A31,'INVENTORY MASTER'!$A$4:$A$63,0)),""))</f>
        <v/>
      </c>
      <c r="M31" s="24" t="str">
        <f aca="false">IF($A31="","",IFERROR(INDEX('INVENTORY MASTER'!$W$4:$W$63,MATCH($A31,'INVENTORY MASTER'!$A$4:$A$63,0)),""))</f>
        <v/>
      </c>
      <c r="N31" s="24" t="str">
        <f aca="false">IF($A31="","",IFERROR(INDEX('INVENTORY MASTER'!$X$4:$X$63,MATCH($A31,'INVENTORY MASTER'!$A$4:$A$63,0)),""))</f>
        <v/>
      </c>
      <c r="O31" s="24" t="str">
        <f aca="false">IF($A31="","",IFERROR(INDEX('INVENTORY MASTER'!$Y$4:$Y$63,MATCH($A31,'INVENTORY MASTER'!$A$4:$A$63,0)),""))</f>
        <v/>
      </c>
      <c r="P31" s="17"/>
      <c r="Q31" s="18"/>
      <c r="R31" s="17"/>
      <c r="S31" s="24" t="str">
        <f aca="false">IF($A31="","",IFERROR(INDEX('INVENTORY MASTER'!$Z$4:$Z$63,MATCH($A31,'INVENTORY MASTER'!$A$4:$A$63,0)),""))</f>
        <v/>
      </c>
      <c r="T31" s="21" t="str">
        <f aca="false">IF($A31="","",IFERROR(INDEX('INVENTORY MASTER'!$AI$4:$AI$63,MATCH($A31,'INVENTORY MASTER'!$A$4:$A$63,0)),""))</f>
        <v/>
      </c>
      <c r="U31" s="21" t="str">
        <f aca="false">IF($A31="","",IFERROR(INDEX('INVENTORY MASTER'!$AM$4:$AM$63,MATCH($A31,'INVENTORY MASTER'!$A$4:$A$63,0)),""))</f>
        <v/>
      </c>
      <c r="V31" s="21" t="str">
        <f aca="false">IF($A31="","",IFERROR(INDEX('INVENTORY MASTER'!$AO$4:$AO$63,MATCH($A31,'INVENTORY MASTER'!$A$4:$A$63,0)),""))</f>
        <v/>
      </c>
      <c r="W31" s="24" t="str">
        <f aca="false">IF($A31="","",IFERROR(INDEX('INVENTORY MASTER'!$AS$4:$AS$63,MATCH($A31,'INVENTORY MASTER'!$A$4:$A$63,0)),""))</f>
        <v/>
      </c>
      <c r="X31" s="24" t="str">
        <f aca="false">IF($A31="","",IFERROR(INDEX('INVENTORY MASTER'!$AR$4:$AR$63,MATCH($A31,'INVENTORY MASTER'!$A$4:$A$63,0)),""))</f>
        <v/>
      </c>
      <c r="Y31" s="18"/>
    </row>
    <row r="32" customFormat="false" ht="15" hidden="false" customHeight="false" outlineLevel="0" collapsed="false">
      <c r="A32" s="18"/>
      <c r="B32" s="24" t="str">
        <f aca="false">IF($A32="","",IFERROR(INDEX('INVENTORY MASTER'!$G$4:$G$63,MATCH($A32,'INVENTORY MASTER'!$A$4:$A$63,0)),""))</f>
        <v/>
      </c>
      <c r="C32" s="24" t="str">
        <f aca="false">IF($A32="","",IFERROR(INDEX('INVENTORY MASTER'!$H$4:$H$63,MATCH($A32,'INVENTORY MASTER'!$A$4:$A$63,0)),""))</f>
        <v/>
      </c>
      <c r="D32" s="24" t="str">
        <f aca="false">IF($A32="","",IFERROR(INDEX('INVENTORY MASTER'!$I$4:$I$63,MATCH($A32,'INVENTORY MASTER'!$A$4:$A$63,0)),""))</f>
        <v/>
      </c>
      <c r="E32" s="24" t="str">
        <f aca="false">IF($A32="","",IFERROR(INDEX('INVENTORY MASTER'!$J$4:$J$63,MATCH($A32,'INVENTORY MASTER'!$A$4:$A$63,0)),""))</f>
        <v/>
      </c>
      <c r="F32" s="24" t="str">
        <f aca="false">IF($A32="","",IFERROR(INDEX('INVENTORY MASTER'!$V$4:$V$63,MATCH($A32,'INVENTORY MASTER'!$A$4:$A$63,0)),""))</f>
        <v/>
      </c>
      <c r="G32" s="24" t="str">
        <f aca="false">IF($A32="","",IFERROR(INDEX('INVENTORY MASTER'!$T$4:$T$63,MATCH($A32,'INVENTORY MASTER'!$A$4:$A$63,0)),""))</f>
        <v/>
      </c>
      <c r="H32" s="18"/>
      <c r="I32" s="18"/>
      <c r="J32" s="18"/>
      <c r="K32" s="24" t="str">
        <f aca="false">IF($A32="","",IFERROR(INDEX('INVENTORY MASTER'!$U$4:$U$63,MATCH($A32,'INVENTORY MASTER'!$A$4:$A$63,0)),""))</f>
        <v/>
      </c>
      <c r="L32" s="24" t="str">
        <f aca="false">IF($A32="","",IFERROR(INDEX('INVENTORY MASTER'!$U$4:$U$63,MATCH($A32,'INVENTORY MASTER'!$A$4:$A$63,0)),""))</f>
        <v/>
      </c>
      <c r="M32" s="24" t="str">
        <f aca="false">IF($A32="","",IFERROR(INDEX('INVENTORY MASTER'!$W$4:$W$63,MATCH($A32,'INVENTORY MASTER'!$A$4:$A$63,0)),""))</f>
        <v/>
      </c>
      <c r="N32" s="24" t="str">
        <f aca="false">IF($A32="","",IFERROR(INDEX('INVENTORY MASTER'!$X$4:$X$63,MATCH($A32,'INVENTORY MASTER'!$A$4:$A$63,0)),""))</f>
        <v/>
      </c>
      <c r="O32" s="24" t="str">
        <f aca="false">IF($A32="","",IFERROR(INDEX('INVENTORY MASTER'!$Y$4:$Y$63,MATCH($A32,'INVENTORY MASTER'!$A$4:$A$63,0)),""))</f>
        <v/>
      </c>
      <c r="P32" s="17"/>
      <c r="Q32" s="18"/>
      <c r="R32" s="17"/>
      <c r="S32" s="24" t="str">
        <f aca="false">IF($A32="","",IFERROR(INDEX('INVENTORY MASTER'!$Z$4:$Z$63,MATCH($A32,'INVENTORY MASTER'!$A$4:$A$63,0)),""))</f>
        <v/>
      </c>
      <c r="T32" s="21" t="str">
        <f aca="false">IF($A32="","",IFERROR(INDEX('INVENTORY MASTER'!$AI$4:$AI$63,MATCH($A32,'INVENTORY MASTER'!$A$4:$A$63,0)),""))</f>
        <v/>
      </c>
      <c r="U32" s="21" t="str">
        <f aca="false">IF($A32="","",IFERROR(INDEX('INVENTORY MASTER'!$AM$4:$AM$63,MATCH($A32,'INVENTORY MASTER'!$A$4:$A$63,0)),""))</f>
        <v/>
      </c>
      <c r="V32" s="21" t="str">
        <f aca="false">IF($A32="","",IFERROR(INDEX('INVENTORY MASTER'!$AO$4:$AO$63,MATCH($A32,'INVENTORY MASTER'!$A$4:$A$63,0)),""))</f>
        <v/>
      </c>
      <c r="W32" s="24" t="str">
        <f aca="false">IF($A32="","",IFERROR(INDEX('INVENTORY MASTER'!$AS$4:$AS$63,MATCH($A32,'INVENTORY MASTER'!$A$4:$A$63,0)),""))</f>
        <v/>
      </c>
      <c r="X32" s="24" t="str">
        <f aca="false">IF($A32="","",IFERROR(INDEX('INVENTORY MASTER'!$AR$4:$AR$63,MATCH($A32,'INVENTORY MASTER'!$A$4:$A$63,0)),""))</f>
        <v/>
      </c>
      <c r="Y32" s="18"/>
    </row>
    <row r="33" customFormat="false" ht="15" hidden="false" customHeight="false" outlineLevel="0" collapsed="false">
      <c r="A33" s="18"/>
      <c r="B33" s="24" t="str">
        <f aca="false">IF($A33="","",IFERROR(INDEX('INVENTORY MASTER'!$G$4:$G$63,MATCH($A33,'INVENTORY MASTER'!$A$4:$A$63,0)),""))</f>
        <v/>
      </c>
      <c r="C33" s="24" t="str">
        <f aca="false">IF($A33="","",IFERROR(INDEX('INVENTORY MASTER'!$H$4:$H$63,MATCH($A33,'INVENTORY MASTER'!$A$4:$A$63,0)),""))</f>
        <v/>
      </c>
      <c r="D33" s="24" t="str">
        <f aca="false">IF($A33="","",IFERROR(INDEX('INVENTORY MASTER'!$I$4:$I$63,MATCH($A33,'INVENTORY MASTER'!$A$4:$A$63,0)),""))</f>
        <v/>
      </c>
      <c r="E33" s="24" t="str">
        <f aca="false">IF($A33="","",IFERROR(INDEX('INVENTORY MASTER'!$J$4:$J$63,MATCH($A33,'INVENTORY MASTER'!$A$4:$A$63,0)),""))</f>
        <v/>
      </c>
      <c r="F33" s="24" t="str">
        <f aca="false">IF($A33="","",IFERROR(INDEX('INVENTORY MASTER'!$V$4:$V$63,MATCH($A33,'INVENTORY MASTER'!$A$4:$A$63,0)),""))</f>
        <v/>
      </c>
      <c r="G33" s="24" t="str">
        <f aca="false">IF($A33="","",IFERROR(INDEX('INVENTORY MASTER'!$T$4:$T$63,MATCH($A33,'INVENTORY MASTER'!$A$4:$A$63,0)),""))</f>
        <v/>
      </c>
      <c r="H33" s="18"/>
      <c r="I33" s="18"/>
      <c r="J33" s="18"/>
      <c r="K33" s="24" t="str">
        <f aca="false">IF($A33="","",IFERROR(INDEX('INVENTORY MASTER'!$U$4:$U$63,MATCH($A33,'INVENTORY MASTER'!$A$4:$A$63,0)),""))</f>
        <v/>
      </c>
      <c r="L33" s="24" t="str">
        <f aca="false">IF($A33="","",IFERROR(INDEX('INVENTORY MASTER'!$U$4:$U$63,MATCH($A33,'INVENTORY MASTER'!$A$4:$A$63,0)),""))</f>
        <v/>
      </c>
      <c r="M33" s="24" t="str">
        <f aca="false">IF($A33="","",IFERROR(INDEX('INVENTORY MASTER'!$W$4:$W$63,MATCH($A33,'INVENTORY MASTER'!$A$4:$A$63,0)),""))</f>
        <v/>
      </c>
      <c r="N33" s="24" t="str">
        <f aca="false">IF($A33="","",IFERROR(INDEX('INVENTORY MASTER'!$X$4:$X$63,MATCH($A33,'INVENTORY MASTER'!$A$4:$A$63,0)),""))</f>
        <v/>
      </c>
      <c r="O33" s="24" t="str">
        <f aca="false">IF($A33="","",IFERROR(INDEX('INVENTORY MASTER'!$Y$4:$Y$63,MATCH($A33,'INVENTORY MASTER'!$A$4:$A$63,0)),""))</f>
        <v/>
      </c>
      <c r="P33" s="17"/>
      <c r="Q33" s="18"/>
      <c r="R33" s="17"/>
      <c r="S33" s="24" t="str">
        <f aca="false">IF($A33="","",IFERROR(INDEX('INVENTORY MASTER'!$Z$4:$Z$63,MATCH($A33,'INVENTORY MASTER'!$A$4:$A$63,0)),""))</f>
        <v/>
      </c>
      <c r="T33" s="21" t="str">
        <f aca="false">IF($A33="","",IFERROR(INDEX('INVENTORY MASTER'!$AI$4:$AI$63,MATCH($A33,'INVENTORY MASTER'!$A$4:$A$63,0)),""))</f>
        <v/>
      </c>
      <c r="U33" s="21" t="str">
        <f aca="false">IF($A33="","",IFERROR(INDEX('INVENTORY MASTER'!$AM$4:$AM$63,MATCH($A33,'INVENTORY MASTER'!$A$4:$A$63,0)),""))</f>
        <v/>
      </c>
      <c r="V33" s="21" t="str">
        <f aca="false">IF($A33="","",IFERROR(INDEX('INVENTORY MASTER'!$AO$4:$AO$63,MATCH($A33,'INVENTORY MASTER'!$A$4:$A$63,0)),""))</f>
        <v/>
      </c>
      <c r="W33" s="24" t="str">
        <f aca="false">IF($A33="","",IFERROR(INDEX('INVENTORY MASTER'!$AS$4:$AS$63,MATCH($A33,'INVENTORY MASTER'!$A$4:$A$63,0)),""))</f>
        <v/>
      </c>
      <c r="X33" s="24" t="str">
        <f aca="false">IF($A33="","",IFERROR(INDEX('INVENTORY MASTER'!$AR$4:$AR$63,MATCH($A33,'INVENTORY MASTER'!$A$4:$A$63,0)),""))</f>
        <v/>
      </c>
      <c r="Y33" s="18"/>
    </row>
    <row r="34" customFormat="false" ht="15" hidden="false" customHeight="false" outlineLevel="0" collapsed="false">
      <c r="A34" s="18"/>
      <c r="B34" s="24" t="str">
        <f aca="false">IF($A34="","",IFERROR(INDEX('INVENTORY MASTER'!$G$4:$G$63,MATCH($A34,'INVENTORY MASTER'!$A$4:$A$63,0)),""))</f>
        <v/>
      </c>
      <c r="C34" s="24" t="str">
        <f aca="false">IF($A34="","",IFERROR(INDEX('INVENTORY MASTER'!$H$4:$H$63,MATCH($A34,'INVENTORY MASTER'!$A$4:$A$63,0)),""))</f>
        <v/>
      </c>
      <c r="D34" s="24" t="str">
        <f aca="false">IF($A34="","",IFERROR(INDEX('INVENTORY MASTER'!$I$4:$I$63,MATCH($A34,'INVENTORY MASTER'!$A$4:$A$63,0)),""))</f>
        <v/>
      </c>
      <c r="E34" s="24" t="str">
        <f aca="false">IF($A34="","",IFERROR(INDEX('INVENTORY MASTER'!$J$4:$J$63,MATCH($A34,'INVENTORY MASTER'!$A$4:$A$63,0)),""))</f>
        <v/>
      </c>
      <c r="F34" s="24" t="str">
        <f aca="false">IF($A34="","",IFERROR(INDEX('INVENTORY MASTER'!$V$4:$V$63,MATCH($A34,'INVENTORY MASTER'!$A$4:$A$63,0)),""))</f>
        <v/>
      </c>
      <c r="G34" s="24" t="str">
        <f aca="false">IF($A34="","",IFERROR(INDEX('INVENTORY MASTER'!$T$4:$T$63,MATCH($A34,'INVENTORY MASTER'!$A$4:$A$63,0)),""))</f>
        <v/>
      </c>
      <c r="H34" s="18"/>
      <c r="I34" s="18"/>
      <c r="J34" s="18"/>
      <c r="K34" s="24" t="str">
        <f aca="false">IF($A34="","",IFERROR(INDEX('INVENTORY MASTER'!$U$4:$U$63,MATCH($A34,'INVENTORY MASTER'!$A$4:$A$63,0)),""))</f>
        <v/>
      </c>
      <c r="L34" s="24" t="str">
        <f aca="false">IF($A34="","",IFERROR(INDEX('INVENTORY MASTER'!$U$4:$U$63,MATCH($A34,'INVENTORY MASTER'!$A$4:$A$63,0)),""))</f>
        <v/>
      </c>
      <c r="M34" s="24" t="str">
        <f aca="false">IF($A34="","",IFERROR(INDEX('INVENTORY MASTER'!$W$4:$W$63,MATCH($A34,'INVENTORY MASTER'!$A$4:$A$63,0)),""))</f>
        <v/>
      </c>
      <c r="N34" s="24" t="str">
        <f aca="false">IF($A34="","",IFERROR(INDEX('INVENTORY MASTER'!$X$4:$X$63,MATCH($A34,'INVENTORY MASTER'!$A$4:$A$63,0)),""))</f>
        <v/>
      </c>
      <c r="O34" s="24" t="str">
        <f aca="false">IF($A34="","",IFERROR(INDEX('INVENTORY MASTER'!$Y$4:$Y$63,MATCH($A34,'INVENTORY MASTER'!$A$4:$A$63,0)),""))</f>
        <v/>
      </c>
      <c r="P34" s="17"/>
      <c r="Q34" s="18"/>
      <c r="R34" s="17"/>
      <c r="S34" s="24" t="str">
        <f aca="false">IF($A34="","",IFERROR(INDEX('INVENTORY MASTER'!$Z$4:$Z$63,MATCH($A34,'INVENTORY MASTER'!$A$4:$A$63,0)),""))</f>
        <v/>
      </c>
      <c r="T34" s="21" t="str">
        <f aca="false">IF($A34="","",IFERROR(INDEX('INVENTORY MASTER'!$AI$4:$AI$63,MATCH($A34,'INVENTORY MASTER'!$A$4:$A$63,0)),""))</f>
        <v/>
      </c>
      <c r="U34" s="21" t="str">
        <f aca="false">IF($A34="","",IFERROR(INDEX('INVENTORY MASTER'!$AM$4:$AM$63,MATCH($A34,'INVENTORY MASTER'!$A$4:$A$63,0)),""))</f>
        <v/>
      </c>
      <c r="V34" s="21" t="str">
        <f aca="false">IF($A34="","",IFERROR(INDEX('INVENTORY MASTER'!$AO$4:$AO$63,MATCH($A34,'INVENTORY MASTER'!$A$4:$A$63,0)),""))</f>
        <v/>
      </c>
      <c r="W34" s="24" t="str">
        <f aca="false">IF($A34="","",IFERROR(INDEX('INVENTORY MASTER'!$AS$4:$AS$63,MATCH($A34,'INVENTORY MASTER'!$A$4:$A$63,0)),""))</f>
        <v/>
      </c>
      <c r="X34" s="24" t="str">
        <f aca="false">IF($A34="","",IFERROR(INDEX('INVENTORY MASTER'!$AR$4:$AR$63,MATCH($A34,'INVENTORY MASTER'!$A$4:$A$63,0)),""))</f>
        <v/>
      </c>
      <c r="Y34" s="18"/>
    </row>
    <row r="35" customFormat="false" ht="15" hidden="false" customHeight="false" outlineLevel="0" collapsed="false">
      <c r="A35" s="18"/>
      <c r="B35" s="24" t="str">
        <f aca="false">IF($A35="","",IFERROR(INDEX('INVENTORY MASTER'!$G$4:$G$63,MATCH($A35,'INVENTORY MASTER'!$A$4:$A$63,0)),""))</f>
        <v/>
      </c>
      <c r="C35" s="24" t="str">
        <f aca="false">IF($A35="","",IFERROR(INDEX('INVENTORY MASTER'!$H$4:$H$63,MATCH($A35,'INVENTORY MASTER'!$A$4:$A$63,0)),""))</f>
        <v/>
      </c>
      <c r="D35" s="24" t="str">
        <f aca="false">IF($A35="","",IFERROR(INDEX('INVENTORY MASTER'!$I$4:$I$63,MATCH($A35,'INVENTORY MASTER'!$A$4:$A$63,0)),""))</f>
        <v/>
      </c>
      <c r="E35" s="24" t="str">
        <f aca="false">IF($A35="","",IFERROR(INDEX('INVENTORY MASTER'!$J$4:$J$63,MATCH($A35,'INVENTORY MASTER'!$A$4:$A$63,0)),""))</f>
        <v/>
      </c>
      <c r="F35" s="24" t="str">
        <f aca="false">IF($A35="","",IFERROR(INDEX('INVENTORY MASTER'!$V$4:$V$63,MATCH($A35,'INVENTORY MASTER'!$A$4:$A$63,0)),""))</f>
        <v/>
      </c>
      <c r="G35" s="24" t="str">
        <f aca="false">IF($A35="","",IFERROR(INDEX('INVENTORY MASTER'!$T$4:$T$63,MATCH($A35,'INVENTORY MASTER'!$A$4:$A$63,0)),""))</f>
        <v/>
      </c>
      <c r="H35" s="18"/>
      <c r="I35" s="18"/>
      <c r="J35" s="18"/>
      <c r="K35" s="24" t="str">
        <f aca="false">IF($A35="","",IFERROR(INDEX('INVENTORY MASTER'!$U$4:$U$63,MATCH($A35,'INVENTORY MASTER'!$A$4:$A$63,0)),""))</f>
        <v/>
      </c>
      <c r="L35" s="24" t="str">
        <f aca="false">IF($A35="","",IFERROR(INDEX('INVENTORY MASTER'!$U$4:$U$63,MATCH($A35,'INVENTORY MASTER'!$A$4:$A$63,0)),""))</f>
        <v/>
      </c>
      <c r="M35" s="24" t="str">
        <f aca="false">IF($A35="","",IFERROR(INDEX('INVENTORY MASTER'!$W$4:$W$63,MATCH($A35,'INVENTORY MASTER'!$A$4:$A$63,0)),""))</f>
        <v/>
      </c>
      <c r="N35" s="24" t="str">
        <f aca="false">IF($A35="","",IFERROR(INDEX('INVENTORY MASTER'!$X$4:$X$63,MATCH($A35,'INVENTORY MASTER'!$A$4:$A$63,0)),""))</f>
        <v/>
      </c>
      <c r="O35" s="24" t="str">
        <f aca="false">IF($A35="","",IFERROR(INDEX('INVENTORY MASTER'!$Y$4:$Y$63,MATCH($A35,'INVENTORY MASTER'!$A$4:$A$63,0)),""))</f>
        <v/>
      </c>
      <c r="P35" s="17"/>
      <c r="Q35" s="18"/>
      <c r="R35" s="17"/>
      <c r="S35" s="24" t="str">
        <f aca="false">IF($A35="","",IFERROR(INDEX('INVENTORY MASTER'!$Z$4:$Z$63,MATCH($A35,'INVENTORY MASTER'!$A$4:$A$63,0)),""))</f>
        <v/>
      </c>
      <c r="T35" s="21" t="str">
        <f aca="false">IF($A35="","",IFERROR(INDEX('INVENTORY MASTER'!$AI$4:$AI$63,MATCH($A35,'INVENTORY MASTER'!$A$4:$A$63,0)),""))</f>
        <v/>
      </c>
      <c r="U35" s="21" t="str">
        <f aca="false">IF($A35="","",IFERROR(INDEX('INVENTORY MASTER'!$AM$4:$AM$63,MATCH($A35,'INVENTORY MASTER'!$A$4:$A$63,0)),""))</f>
        <v/>
      </c>
      <c r="V35" s="21" t="str">
        <f aca="false">IF($A35="","",IFERROR(INDEX('INVENTORY MASTER'!$AO$4:$AO$63,MATCH($A35,'INVENTORY MASTER'!$A$4:$A$63,0)),""))</f>
        <v/>
      </c>
      <c r="W35" s="24" t="str">
        <f aca="false">IF($A35="","",IFERROR(INDEX('INVENTORY MASTER'!$AS$4:$AS$63,MATCH($A35,'INVENTORY MASTER'!$A$4:$A$63,0)),""))</f>
        <v/>
      </c>
      <c r="X35" s="24" t="str">
        <f aca="false">IF($A35="","",IFERROR(INDEX('INVENTORY MASTER'!$AR$4:$AR$63,MATCH($A35,'INVENTORY MASTER'!$A$4:$A$63,0)),""))</f>
        <v/>
      </c>
      <c r="Y35" s="18"/>
    </row>
    <row r="36" customFormat="false" ht="15" hidden="false" customHeight="false" outlineLevel="0" collapsed="false">
      <c r="A36" s="18"/>
      <c r="B36" s="24" t="str">
        <f aca="false">IF($A36="","",IFERROR(INDEX('INVENTORY MASTER'!$G$4:$G$63,MATCH($A36,'INVENTORY MASTER'!$A$4:$A$63,0)),""))</f>
        <v/>
      </c>
      <c r="C36" s="24" t="str">
        <f aca="false">IF($A36="","",IFERROR(INDEX('INVENTORY MASTER'!$H$4:$H$63,MATCH($A36,'INVENTORY MASTER'!$A$4:$A$63,0)),""))</f>
        <v/>
      </c>
      <c r="D36" s="24" t="str">
        <f aca="false">IF($A36="","",IFERROR(INDEX('INVENTORY MASTER'!$I$4:$I$63,MATCH($A36,'INVENTORY MASTER'!$A$4:$A$63,0)),""))</f>
        <v/>
      </c>
      <c r="E36" s="24" t="str">
        <f aca="false">IF($A36="","",IFERROR(INDEX('INVENTORY MASTER'!$J$4:$J$63,MATCH($A36,'INVENTORY MASTER'!$A$4:$A$63,0)),""))</f>
        <v/>
      </c>
      <c r="F36" s="24" t="str">
        <f aca="false">IF($A36="","",IFERROR(INDEX('INVENTORY MASTER'!$V$4:$V$63,MATCH($A36,'INVENTORY MASTER'!$A$4:$A$63,0)),""))</f>
        <v/>
      </c>
      <c r="G36" s="24" t="str">
        <f aca="false">IF($A36="","",IFERROR(INDEX('INVENTORY MASTER'!$T$4:$T$63,MATCH($A36,'INVENTORY MASTER'!$A$4:$A$63,0)),""))</f>
        <v/>
      </c>
      <c r="H36" s="18"/>
      <c r="I36" s="18"/>
      <c r="J36" s="18"/>
      <c r="K36" s="24" t="str">
        <f aca="false">IF($A36="","",IFERROR(INDEX('INVENTORY MASTER'!$U$4:$U$63,MATCH($A36,'INVENTORY MASTER'!$A$4:$A$63,0)),""))</f>
        <v/>
      </c>
      <c r="L36" s="24" t="str">
        <f aca="false">IF($A36="","",IFERROR(INDEX('INVENTORY MASTER'!$U$4:$U$63,MATCH($A36,'INVENTORY MASTER'!$A$4:$A$63,0)),""))</f>
        <v/>
      </c>
      <c r="M36" s="24" t="str">
        <f aca="false">IF($A36="","",IFERROR(INDEX('INVENTORY MASTER'!$W$4:$W$63,MATCH($A36,'INVENTORY MASTER'!$A$4:$A$63,0)),""))</f>
        <v/>
      </c>
      <c r="N36" s="24" t="str">
        <f aca="false">IF($A36="","",IFERROR(INDEX('INVENTORY MASTER'!$X$4:$X$63,MATCH($A36,'INVENTORY MASTER'!$A$4:$A$63,0)),""))</f>
        <v/>
      </c>
      <c r="O36" s="24" t="str">
        <f aca="false">IF($A36="","",IFERROR(INDEX('INVENTORY MASTER'!$Y$4:$Y$63,MATCH($A36,'INVENTORY MASTER'!$A$4:$A$63,0)),""))</f>
        <v/>
      </c>
      <c r="P36" s="17"/>
      <c r="Q36" s="18"/>
      <c r="R36" s="17"/>
      <c r="S36" s="24" t="str">
        <f aca="false">IF($A36="","",IFERROR(INDEX('INVENTORY MASTER'!$Z$4:$Z$63,MATCH($A36,'INVENTORY MASTER'!$A$4:$A$63,0)),""))</f>
        <v/>
      </c>
      <c r="T36" s="21" t="str">
        <f aca="false">IF($A36="","",IFERROR(INDEX('INVENTORY MASTER'!$AI$4:$AI$63,MATCH($A36,'INVENTORY MASTER'!$A$4:$A$63,0)),""))</f>
        <v/>
      </c>
      <c r="U36" s="21" t="str">
        <f aca="false">IF($A36="","",IFERROR(INDEX('INVENTORY MASTER'!$AM$4:$AM$63,MATCH($A36,'INVENTORY MASTER'!$A$4:$A$63,0)),""))</f>
        <v/>
      </c>
      <c r="V36" s="21" t="str">
        <f aca="false">IF($A36="","",IFERROR(INDEX('INVENTORY MASTER'!$AO$4:$AO$63,MATCH($A36,'INVENTORY MASTER'!$A$4:$A$63,0)),""))</f>
        <v/>
      </c>
      <c r="W36" s="24" t="str">
        <f aca="false">IF($A36="","",IFERROR(INDEX('INVENTORY MASTER'!$AS$4:$AS$63,MATCH($A36,'INVENTORY MASTER'!$A$4:$A$63,0)),""))</f>
        <v/>
      </c>
      <c r="X36" s="24" t="str">
        <f aca="false">IF($A36="","",IFERROR(INDEX('INVENTORY MASTER'!$AR$4:$AR$63,MATCH($A36,'INVENTORY MASTER'!$A$4:$A$63,0)),""))</f>
        <v/>
      </c>
      <c r="Y36" s="18"/>
    </row>
    <row r="37" customFormat="false" ht="15" hidden="false" customHeight="false" outlineLevel="0" collapsed="false">
      <c r="A37" s="18"/>
      <c r="B37" s="24" t="str">
        <f aca="false">IF($A37="","",IFERROR(INDEX('INVENTORY MASTER'!$G$4:$G$63,MATCH($A37,'INVENTORY MASTER'!$A$4:$A$63,0)),""))</f>
        <v/>
      </c>
      <c r="C37" s="24" t="str">
        <f aca="false">IF($A37="","",IFERROR(INDEX('INVENTORY MASTER'!$H$4:$H$63,MATCH($A37,'INVENTORY MASTER'!$A$4:$A$63,0)),""))</f>
        <v/>
      </c>
      <c r="D37" s="24" t="str">
        <f aca="false">IF($A37="","",IFERROR(INDEX('INVENTORY MASTER'!$I$4:$I$63,MATCH($A37,'INVENTORY MASTER'!$A$4:$A$63,0)),""))</f>
        <v/>
      </c>
      <c r="E37" s="24" t="str">
        <f aca="false">IF($A37="","",IFERROR(INDEX('INVENTORY MASTER'!$J$4:$J$63,MATCH($A37,'INVENTORY MASTER'!$A$4:$A$63,0)),""))</f>
        <v/>
      </c>
      <c r="F37" s="24" t="str">
        <f aca="false">IF($A37="","",IFERROR(INDEX('INVENTORY MASTER'!$V$4:$V$63,MATCH($A37,'INVENTORY MASTER'!$A$4:$A$63,0)),""))</f>
        <v/>
      </c>
      <c r="G37" s="24" t="str">
        <f aca="false">IF($A37="","",IFERROR(INDEX('INVENTORY MASTER'!$T$4:$T$63,MATCH($A37,'INVENTORY MASTER'!$A$4:$A$63,0)),""))</f>
        <v/>
      </c>
      <c r="H37" s="18"/>
      <c r="I37" s="18"/>
      <c r="J37" s="18"/>
      <c r="K37" s="24" t="str">
        <f aca="false">IF($A37="","",IFERROR(INDEX('INVENTORY MASTER'!$U$4:$U$63,MATCH($A37,'INVENTORY MASTER'!$A$4:$A$63,0)),""))</f>
        <v/>
      </c>
      <c r="L37" s="24" t="str">
        <f aca="false">IF($A37="","",IFERROR(INDEX('INVENTORY MASTER'!$U$4:$U$63,MATCH($A37,'INVENTORY MASTER'!$A$4:$A$63,0)),""))</f>
        <v/>
      </c>
      <c r="M37" s="24" t="str">
        <f aca="false">IF($A37="","",IFERROR(INDEX('INVENTORY MASTER'!$W$4:$W$63,MATCH($A37,'INVENTORY MASTER'!$A$4:$A$63,0)),""))</f>
        <v/>
      </c>
      <c r="N37" s="24" t="str">
        <f aca="false">IF($A37="","",IFERROR(INDEX('INVENTORY MASTER'!$X$4:$X$63,MATCH($A37,'INVENTORY MASTER'!$A$4:$A$63,0)),""))</f>
        <v/>
      </c>
      <c r="O37" s="24" t="str">
        <f aca="false">IF($A37="","",IFERROR(INDEX('INVENTORY MASTER'!$Y$4:$Y$63,MATCH($A37,'INVENTORY MASTER'!$A$4:$A$63,0)),""))</f>
        <v/>
      </c>
      <c r="P37" s="17"/>
      <c r="Q37" s="18"/>
      <c r="R37" s="17"/>
      <c r="S37" s="24" t="str">
        <f aca="false">IF($A37="","",IFERROR(INDEX('INVENTORY MASTER'!$Z$4:$Z$63,MATCH($A37,'INVENTORY MASTER'!$A$4:$A$63,0)),""))</f>
        <v/>
      </c>
      <c r="T37" s="21" t="str">
        <f aca="false">IF($A37="","",IFERROR(INDEX('INVENTORY MASTER'!$AI$4:$AI$63,MATCH($A37,'INVENTORY MASTER'!$A$4:$A$63,0)),""))</f>
        <v/>
      </c>
      <c r="U37" s="21" t="str">
        <f aca="false">IF($A37="","",IFERROR(INDEX('INVENTORY MASTER'!$AM$4:$AM$63,MATCH($A37,'INVENTORY MASTER'!$A$4:$A$63,0)),""))</f>
        <v/>
      </c>
      <c r="V37" s="21" t="str">
        <f aca="false">IF($A37="","",IFERROR(INDEX('INVENTORY MASTER'!$AO$4:$AO$63,MATCH($A37,'INVENTORY MASTER'!$A$4:$A$63,0)),""))</f>
        <v/>
      </c>
      <c r="W37" s="24" t="str">
        <f aca="false">IF($A37="","",IFERROR(INDEX('INVENTORY MASTER'!$AS$4:$AS$63,MATCH($A37,'INVENTORY MASTER'!$A$4:$A$63,0)),""))</f>
        <v/>
      </c>
      <c r="X37" s="24" t="str">
        <f aca="false">IF($A37="","",IFERROR(INDEX('INVENTORY MASTER'!$AR$4:$AR$63,MATCH($A37,'INVENTORY MASTER'!$A$4:$A$63,0)),""))</f>
        <v/>
      </c>
      <c r="Y37" s="18"/>
    </row>
    <row r="38" customFormat="false" ht="15" hidden="false" customHeight="false" outlineLevel="0" collapsed="false">
      <c r="A38" s="18"/>
      <c r="B38" s="24" t="str">
        <f aca="false">IF($A38="","",IFERROR(INDEX('INVENTORY MASTER'!$G$4:$G$63,MATCH($A38,'INVENTORY MASTER'!$A$4:$A$63,0)),""))</f>
        <v/>
      </c>
      <c r="C38" s="24" t="str">
        <f aca="false">IF($A38="","",IFERROR(INDEX('INVENTORY MASTER'!$H$4:$H$63,MATCH($A38,'INVENTORY MASTER'!$A$4:$A$63,0)),""))</f>
        <v/>
      </c>
      <c r="D38" s="24" t="str">
        <f aca="false">IF($A38="","",IFERROR(INDEX('INVENTORY MASTER'!$I$4:$I$63,MATCH($A38,'INVENTORY MASTER'!$A$4:$A$63,0)),""))</f>
        <v/>
      </c>
      <c r="E38" s="24" t="str">
        <f aca="false">IF($A38="","",IFERROR(INDEX('INVENTORY MASTER'!$J$4:$J$63,MATCH($A38,'INVENTORY MASTER'!$A$4:$A$63,0)),""))</f>
        <v/>
      </c>
      <c r="F38" s="24" t="str">
        <f aca="false">IF($A38="","",IFERROR(INDEX('INVENTORY MASTER'!$V$4:$V$63,MATCH($A38,'INVENTORY MASTER'!$A$4:$A$63,0)),""))</f>
        <v/>
      </c>
      <c r="G38" s="24" t="str">
        <f aca="false">IF($A38="","",IFERROR(INDEX('INVENTORY MASTER'!$T$4:$T$63,MATCH($A38,'INVENTORY MASTER'!$A$4:$A$63,0)),""))</f>
        <v/>
      </c>
      <c r="H38" s="18"/>
      <c r="I38" s="18"/>
      <c r="J38" s="18"/>
      <c r="K38" s="24" t="str">
        <f aca="false">IF($A38="","",IFERROR(INDEX('INVENTORY MASTER'!$U$4:$U$63,MATCH($A38,'INVENTORY MASTER'!$A$4:$A$63,0)),""))</f>
        <v/>
      </c>
      <c r="L38" s="24" t="str">
        <f aca="false">IF($A38="","",IFERROR(INDEX('INVENTORY MASTER'!$U$4:$U$63,MATCH($A38,'INVENTORY MASTER'!$A$4:$A$63,0)),""))</f>
        <v/>
      </c>
      <c r="M38" s="24" t="str">
        <f aca="false">IF($A38="","",IFERROR(INDEX('INVENTORY MASTER'!$W$4:$W$63,MATCH($A38,'INVENTORY MASTER'!$A$4:$A$63,0)),""))</f>
        <v/>
      </c>
      <c r="N38" s="24" t="str">
        <f aca="false">IF($A38="","",IFERROR(INDEX('INVENTORY MASTER'!$X$4:$X$63,MATCH($A38,'INVENTORY MASTER'!$A$4:$A$63,0)),""))</f>
        <v/>
      </c>
      <c r="O38" s="24" t="str">
        <f aca="false">IF($A38="","",IFERROR(INDEX('INVENTORY MASTER'!$Y$4:$Y$63,MATCH($A38,'INVENTORY MASTER'!$A$4:$A$63,0)),""))</f>
        <v/>
      </c>
      <c r="P38" s="17"/>
      <c r="Q38" s="18"/>
      <c r="R38" s="17"/>
      <c r="S38" s="24" t="str">
        <f aca="false">IF($A38="","",IFERROR(INDEX('INVENTORY MASTER'!$Z$4:$Z$63,MATCH($A38,'INVENTORY MASTER'!$A$4:$A$63,0)),""))</f>
        <v/>
      </c>
      <c r="T38" s="21" t="str">
        <f aca="false">IF($A38="","",IFERROR(INDEX('INVENTORY MASTER'!$AI$4:$AI$63,MATCH($A38,'INVENTORY MASTER'!$A$4:$A$63,0)),""))</f>
        <v/>
      </c>
      <c r="U38" s="21" t="str">
        <f aca="false">IF($A38="","",IFERROR(INDEX('INVENTORY MASTER'!$AM$4:$AM$63,MATCH($A38,'INVENTORY MASTER'!$A$4:$A$63,0)),""))</f>
        <v/>
      </c>
      <c r="V38" s="21" t="str">
        <f aca="false">IF($A38="","",IFERROR(INDEX('INVENTORY MASTER'!$AO$4:$AO$63,MATCH($A38,'INVENTORY MASTER'!$A$4:$A$63,0)),""))</f>
        <v/>
      </c>
      <c r="W38" s="24" t="str">
        <f aca="false">IF($A38="","",IFERROR(INDEX('INVENTORY MASTER'!$AS$4:$AS$63,MATCH($A38,'INVENTORY MASTER'!$A$4:$A$63,0)),""))</f>
        <v/>
      </c>
      <c r="X38" s="24" t="str">
        <f aca="false">IF($A38="","",IFERROR(INDEX('INVENTORY MASTER'!$AR$4:$AR$63,MATCH($A38,'INVENTORY MASTER'!$A$4:$A$63,0)),""))</f>
        <v/>
      </c>
      <c r="Y38" s="18"/>
    </row>
    <row r="39" customFormat="false" ht="15" hidden="false" customHeight="false" outlineLevel="0" collapsed="false">
      <c r="A39" s="18"/>
      <c r="B39" s="24" t="str">
        <f aca="false">IF($A39="","",IFERROR(INDEX('INVENTORY MASTER'!$G$4:$G$63,MATCH($A39,'INVENTORY MASTER'!$A$4:$A$63,0)),""))</f>
        <v/>
      </c>
      <c r="C39" s="24" t="str">
        <f aca="false">IF($A39="","",IFERROR(INDEX('INVENTORY MASTER'!$H$4:$H$63,MATCH($A39,'INVENTORY MASTER'!$A$4:$A$63,0)),""))</f>
        <v/>
      </c>
      <c r="D39" s="24" t="str">
        <f aca="false">IF($A39="","",IFERROR(INDEX('INVENTORY MASTER'!$I$4:$I$63,MATCH($A39,'INVENTORY MASTER'!$A$4:$A$63,0)),""))</f>
        <v/>
      </c>
      <c r="E39" s="24" t="str">
        <f aca="false">IF($A39="","",IFERROR(INDEX('INVENTORY MASTER'!$J$4:$J$63,MATCH($A39,'INVENTORY MASTER'!$A$4:$A$63,0)),""))</f>
        <v/>
      </c>
      <c r="F39" s="24" t="str">
        <f aca="false">IF($A39="","",IFERROR(INDEX('INVENTORY MASTER'!$V$4:$V$63,MATCH($A39,'INVENTORY MASTER'!$A$4:$A$63,0)),""))</f>
        <v/>
      </c>
      <c r="G39" s="24" t="str">
        <f aca="false">IF($A39="","",IFERROR(INDEX('INVENTORY MASTER'!$T$4:$T$63,MATCH($A39,'INVENTORY MASTER'!$A$4:$A$63,0)),""))</f>
        <v/>
      </c>
      <c r="H39" s="18"/>
      <c r="I39" s="18"/>
      <c r="J39" s="18"/>
      <c r="K39" s="24" t="str">
        <f aca="false">IF($A39="","",IFERROR(INDEX('INVENTORY MASTER'!$U$4:$U$63,MATCH($A39,'INVENTORY MASTER'!$A$4:$A$63,0)),""))</f>
        <v/>
      </c>
      <c r="L39" s="24" t="str">
        <f aca="false">IF($A39="","",IFERROR(INDEX('INVENTORY MASTER'!$U$4:$U$63,MATCH($A39,'INVENTORY MASTER'!$A$4:$A$63,0)),""))</f>
        <v/>
      </c>
      <c r="M39" s="24" t="str">
        <f aca="false">IF($A39="","",IFERROR(INDEX('INVENTORY MASTER'!$W$4:$W$63,MATCH($A39,'INVENTORY MASTER'!$A$4:$A$63,0)),""))</f>
        <v/>
      </c>
      <c r="N39" s="24" t="str">
        <f aca="false">IF($A39="","",IFERROR(INDEX('INVENTORY MASTER'!$X$4:$X$63,MATCH($A39,'INVENTORY MASTER'!$A$4:$A$63,0)),""))</f>
        <v/>
      </c>
      <c r="O39" s="24" t="str">
        <f aca="false">IF($A39="","",IFERROR(INDEX('INVENTORY MASTER'!$Y$4:$Y$63,MATCH($A39,'INVENTORY MASTER'!$A$4:$A$63,0)),""))</f>
        <v/>
      </c>
      <c r="P39" s="17"/>
      <c r="Q39" s="18"/>
      <c r="R39" s="17"/>
      <c r="S39" s="24" t="str">
        <f aca="false">IF($A39="","",IFERROR(INDEX('INVENTORY MASTER'!$Z$4:$Z$63,MATCH($A39,'INVENTORY MASTER'!$A$4:$A$63,0)),""))</f>
        <v/>
      </c>
      <c r="T39" s="21" t="str">
        <f aca="false">IF($A39="","",IFERROR(INDEX('INVENTORY MASTER'!$AI$4:$AI$63,MATCH($A39,'INVENTORY MASTER'!$A$4:$A$63,0)),""))</f>
        <v/>
      </c>
      <c r="U39" s="21" t="str">
        <f aca="false">IF($A39="","",IFERROR(INDEX('INVENTORY MASTER'!$AM$4:$AM$63,MATCH($A39,'INVENTORY MASTER'!$A$4:$A$63,0)),""))</f>
        <v/>
      </c>
      <c r="V39" s="21" t="str">
        <f aca="false">IF($A39="","",IFERROR(INDEX('INVENTORY MASTER'!$AO$4:$AO$63,MATCH($A39,'INVENTORY MASTER'!$A$4:$A$63,0)),""))</f>
        <v/>
      </c>
      <c r="W39" s="24" t="str">
        <f aca="false">IF($A39="","",IFERROR(INDEX('INVENTORY MASTER'!$AS$4:$AS$63,MATCH($A39,'INVENTORY MASTER'!$A$4:$A$63,0)),""))</f>
        <v/>
      </c>
      <c r="X39" s="24" t="str">
        <f aca="false">IF($A39="","",IFERROR(INDEX('INVENTORY MASTER'!$AR$4:$AR$63,MATCH($A39,'INVENTORY MASTER'!$A$4:$A$63,0)),""))</f>
        <v/>
      </c>
      <c r="Y39" s="18"/>
    </row>
    <row r="40" customFormat="false" ht="15" hidden="false" customHeight="false" outlineLevel="0" collapsed="false">
      <c r="A40" s="18"/>
      <c r="B40" s="24" t="str">
        <f aca="false">IF($A40="","",IFERROR(INDEX('INVENTORY MASTER'!$G$4:$G$63,MATCH($A40,'INVENTORY MASTER'!$A$4:$A$63,0)),""))</f>
        <v/>
      </c>
      <c r="C40" s="24" t="str">
        <f aca="false">IF($A40="","",IFERROR(INDEX('INVENTORY MASTER'!$H$4:$H$63,MATCH($A40,'INVENTORY MASTER'!$A$4:$A$63,0)),""))</f>
        <v/>
      </c>
      <c r="D40" s="24" t="str">
        <f aca="false">IF($A40="","",IFERROR(INDEX('INVENTORY MASTER'!$I$4:$I$63,MATCH($A40,'INVENTORY MASTER'!$A$4:$A$63,0)),""))</f>
        <v/>
      </c>
      <c r="E40" s="24" t="str">
        <f aca="false">IF($A40="","",IFERROR(INDEX('INVENTORY MASTER'!$J$4:$J$63,MATCH($A40,'INVENTORY MASTER'!$A$4:$A$63,0)),""))</f>
        <v/>
      </c>
      <c r="F40" s="24" t="str">
        <f aca="false">IF($A40="","",IFERROR(INDEX('INVENTORY MASTER'!$V$4:$V$63,MATCH($A40,'INVENTORY MASTER'!$A$4:$A$63,0)),""))</f>
        <v/>
      </c>
      <c r="G40" s="24" t="str">
        <f aca="false">IF($A40="","",IFERROR(INDEX('INVENTORY MASTER'!$T$4:$T$63,MATCH($A40,'INVENTORY MASTER'!$A$4:$A$63,0)),""))</f>
        <v/>
      </c>
      <c r="H40" s="18"/>
      <c r="I40" s="18"/>
      <c r="J40" s="18"/>
      <c r="K40" s="24" t="str">
        <f aca="false">IF($A40="","",IFERROR(INDEX('INVENTORY MASTER'!$U$4:$U$63,MATCH($A40,'INVENTORY MASTER'!$A$4:$A$63,0)),""))</f>
        <v/>
      </c>
      <c r="L40" s="24" t="str">
        <f aca="false">IF($A40="","",IFERROR(INDEX('INVENTORY MASTER'!$U$4:$U$63,MATCH($A40,'INVENTORY MASTER'!$A$4:$A$63,0)),""))</f>
        <v/>
      </c>
      <c r="M40" s="24" t="str">
        <f aca="false">IF($A40="","",IFERROR(INDEX('INVENTORY MASTER'!$W$4:$W$63,MATCH($A40,'INVENTORY MASTER'!$A$4:$A$63,0)),""))</f>
        <v/>
      </c>
      <c r="N40" s="24" t="str">
        <f aca="false">IF($A40="","",IFERROR(INDEX('INVENTORY MASTER'!$X$4:$X$63,MATCH($A40,'INVENTORY MASTER'!$A$4:$A$63,0)),""))</f>
        <v/>
      </c>
      <c r="O40" s="24" t="str">
        <f aca="false">IF($A40="","",IFERROR(INDEX('INVENTORY MASTER'!$Y$4:$Y$63,MATCH($A40,'INVENTORY MASTER'!$A$4:$A$63,0)),""))</f>
        <v/>
      </c>
      <c r="P40" s="17"/>
      <c r="Q40" s="18"/>
      <c r="R40" s="17"/>
      <c r="S40" s="24" t="str">
        <f aca="false">IF($A40="","",IFERROR(INDEX('INVENTORY MASTER'!$Z$4:$Z$63,MATCH($A40,'INVENTORY MASTER'!$A$4:$A$63,0)),""))</f>
        <v/>
      </c>
      <c r="T40" s="21" t="str">
        <f aca="false">IF($A40="","",IFERROR(INDEX('INVENTORY MASTER'!$AI$4:$AI$63,MATCH($A40,'INVENTORY MASTER'!$A$4:$A$63,0)),""))</f>
        <v/>
      </c>
      <c r="U40" s="21" t="str">
        <f aca="false">IF($A40="","",IFERROR(INDEX('INVENTORY MASTER'!$AM$4:$AM$63,MATCH($A40,'INVENTORY MASTER'!$A$4:$A$63,0)),""))</f>
        <v/>
      </c>
      <c r="V40" s="21" t="str">
        <f aca="false">IF($A40="","",IFERROR(INDEX('INVENTORY MASTER'!$AO$4:$AO$63,MATCH($A40,'INVENTORY MASTER'!$A$4:$A$63,0)),""))</f>
        <v/>
      </c>
      <c r="W40" s="24" t="str">
        <f aca="false">IF($A40="","",IFERROR(INDEX('INVENTORY MASTER'!$AS$4:$AS$63,MATCH($A40,'INVENTORY MASTER'!$A$4:$A$63,0)),""))</f>
        <v/>
      </c>
      <c r="X40" s="24" t="str">
        <f aca="false">IF($A40="","",IFERROR(INDEX('INVENTORY MASTER'!$AR$4:$AR$63,MATCH($A40,'INVENTORY MASTER'!$A$4:$A$63,0)),""))</f>
        <v/>
      </c>
      <c r="Y40" s="18"/>
    </row>
    <row r="41" customFormat="false" ht="15" hidden="false" customHeight="false" outlineLevel="0" collapsed="false">
      <c r="A41" s="18"/>
      <c r="B41" s="24" t="str">
        <f aca="false">IF($A41="","",IFERROR(INDEX('INVENTORY MASTER'!$G$4:$G$63,MATCH($A41,'INVENTORY MASTER'!$A$4:$A$63,0)),""))</f>
        <v/>
      </c>
      <c r="C41" s="24" t="str">
        <f aca="false">IF($A41="","",IFERROR(INDEX('INVENTORY MASTER'!$H$4:$H$63,MATCH($A41,'INVENTORY MASTER'!$A$4:$A$63,0)),""))</f>
        <v/>
      </c>
      <c r="D41" s="24" t="str">
        <f aca="false">IF($A41="","",IFERROR(INDEX('INVENTORY MASTER'!$I$4:$I$63,MATCH($A41,'INVENTORY MASTER'!$A$4:$A$63,0)),""))</f>
        <v/>
      </c>
      <c r="E41" s="24" t="str">
        <f aca="false">IF($A41="","",IFERROR(INDEX('INVENTORY MASTER'!$J$4:$J$63,MATCH($A41,'INVENTORY MASTER'!$A$4:$A$63,0)),""))</f>
        <v/>
      </c>
      <c r="F41" s="24" t="str">
        <f aca="false">IF($A41="","",IFERROR(INDEX('INVENTORY MASTER'!$V$4:$V$63,MATCH($A41,'INVENTORY MASTER'!$A$4:$A$63,0)),""))</f>
        <v/>
      </c>
      <c r="G41" s="24" t="str">
        <f aca="false">IF($A41="","",IFERROR(INDEX('INVENTORY MASTER'!$T$4:$T$63,MATCH($A41,'INVENTORY MASTER'!$A$4:$A$63,0)),""))</f>
        <v/>
      </c>
      <c r="H41" s="18"/>
      <c r="I41" s="18"/>
      <c r="J41" s="18"/>
      <c r="K41" s="24" t="str">
        <f aca="false">IF($A41="","",IFERROR(INDEX('INVENTORY MASTER'!$U$4:$U$63,MATCH($A41,'INVENTORY MASTER'!$A$4:$A$63,0)),""))</f>
        <v/>
      </c>
      <c r="L41" s="24" t="str">
        <f aca="false">IF($A41="","",IFERROR(INDEX('INVENTORY MASTER'!$U$4:$U$63,MATCH($A41,'INVENTORY MASTER'!$A$4:$A$63,0)),""))</f>
        <v/>
      </c>
      <c r="M41" s="24" t="str">
        <f aca="false">IF($A41="","",IFERROR(INDEX('INVENTORY MASTER'!$W$4:$W$63,MATCH($A41,'INVENTORY MASTER'!$A$4:$A$63,0)),""))</f>
        <v/>
      </c>
      <c r="N41" s="24" t="str">
        <f aca="false">IF($A41="","",IFERROR(INDEX('INVENTORY MASTER'!$X$4:$X$63,MATCH($A41,'INVENTORY MASTER'!$A$4:$A$63,0)),""))</f>
        <v/>
      </c>
      <c r="O41" s="24" t="str">
        <f aca="false">IF($A41="","",IFERROR(INDEX('INVENTORY MASTER'!$Y$4:$Y$63,MATCH($A41,'INVENTORY MASTER'!$A$4:$A$63,0)),""))</f>
        <v/>
      </c>
      <c r="P41" s="17"/>
      <c r="Q41" s="18"/>
      <c r="R41" s="17"/>
      <c r="S41" s="24" t="str">
        <f aca="false">IF($A41="","",IFERROR(INDEX('INVENTORY MASTER'!$Z$4:$Z$63,MATCH($A41,'INVENTORY MASTER'!$A$4:$A$63,0)),""))</f>
        <v/>
      </c>
      <c r="T41" s="21" t="str">
        <f aca="false">IF($A41="","",IFERROR(INDEX('INVENTORY MASTER'!$AI$4:$AI$63,MATCH($A41,'INVENTORY MASTER'!$A$4:$A$63,0)),""))</f>
        <v/>
      </c>
      <c r="U41" s="21" t="str">
        <f aca="false">IF($A41="","",IFERROR(INDEX('INVENTORY MASTER'!$AM$4:$AM$63,MATCH($A41,'INVENTORY MASTER'!$A$4:$A$63,0)),""))</f>
        <v/>
      </c>
      <c r="V41" s="21" t="str">
        <f aca="false">IF($A41="","",IFERROR(INDEX('INVENTORY MASTER'!$AO$4:$AO$63,MATCH($A41,'INVENTORY MASTER'!$A$4:$A$63,0)),""))</f>
        <v/>
      </c>
      <c r="W41" s="24" t="str">
        <f aca="false">IF($A41="","",IFERROR(INDEX('INVENTORY MASTER'!$AS$4:$AS$63,MATCH($A41,'INVENTORY MASTER'!$A$4:$A$63,0)),""))</f>
        <v/>
      </c>
      <c r="X41" s="24" t="str">
        <f aca="false">IF($A41="","",IFERROR(INDEX('INVENTORY MASTER'!$AR$4:$AR$63,MATCH($A41,'INVENTORY MASTER'!$A$4:$A$63,0)),""))</f>
        <v/>
      </c>
      <c r="Y41" s="18"/>
    </row>
    <row r="42" customFormat="false" ht="15" hidden="false" customHeight="false" outlineLevel="0" collapsed="false">
      <c r="A42" s="18"/>
      <c r="B42" s="24" t="str">
        <f aca="false">IF($A42="","",IFERROR(INDEX('INVENTORY MASTER'!$G$4:$G$63,MATCH($A42,'INVENTORY MASTER'!$A$4:$A$63,0)),""))</f>
        <v/>
      </c>
      <c r="C42" s="24" t="str">
        <f aca="false">IF($A42="","",IFERROR(INDEX('INVENTORY MASTER'!$H$4:$H$63,MATCH($A42,'INVENTORY MASTER'!$A$4:$A$63,0)),""))</f>
        <v/>
      </c>
      <c r="D42" s="24" t="str">
        <f aca="false">IF($A42="","",IFERROR(INDEX('INVENTORY MASTER'!$I$4:$I$63,MATCH($A42,'INVENTORY MASTER'!$A$4:$A$63,0)),""))</f>
        <v/>
      </c>
      <c r="E42" s="24" t="str">
        <f aca="false">IF($A42="","",IFERROR(INDEX('INVENTORY MASTER'!$J$4:$J$63,MATCH($A42,'INVENTORY MASTER'!$A$4:$A$63,0)),""))</f>
        <v/>
      </c>
      <c r="F42" s="24" t="str">
        <f aca="false">IF($A42="","",IFERROR(INDEX('INVENTORY MASTER'!$V$4:$V$63,MATCH($A42,'INVENTORY MASTER'!$A$4:$A$63,0)),""))</f>
        <v/>
      </c>
      <c r="G42" s="24" t="str">
        <f aca="false">IF($A42="","",IFERROR(INDEX('INVENTORY MASTER'!$T$4:$T$63,MATCH($A42,'INVENTORY MASTER'!$A$4:$A$63,0)),""))</f>
        <v/>
      </c>
      <c r="H42" s="18"/>
      <c r="I42" s="18"/>
      <c r="J42" s="18"/>
      <c r="K42" s="24" t="str">
        <f aca="false">IF($A42="","",IFERROR(INDEX('INVENTORY MASTER'!$U$4:$U$63,MATCH($A42,'INVENTORY MASTER'!$A$4:$A$63,0)),""))</f>
        <v/>
      </c>
      <c r="L42" s="24" t="str">
        <f aca="false">IF($A42="","",IFERROR(INDEX('INVENTORY MASTER'!$U$4:$U$63,MATCH($A42,'INVENTORY MASTER'!$A$4:$A$63,0)),""))</f>
        <v/>
      </c>
      <c r="M42" s="24" t="str">
        <f aca="false">IF($A42="","",IFERROR(INDEX('INVENTORY MASTER'!$W$4:$W$63,MATCH($A42,'INVENTORY MASTER'!$A$4:$A$63,0)),""))</f>
        <v/>
      </c>
      <c r="N42" s="24" t="str">
        <f aca="false">IF($A42="","",IFERROR(INDEX('INVENTORY MASTER'!$X$4:$X$63,MATCH($A42,'INVENTORY MASTER'!$A$4:$A$63,0)),""))</f>
        <v/>
      </c>
      <c r="O42" s="24" t="str">
        <f aca="false">IF($A42="","",IFERROR(INDEX('INVENTORY MASTER'!$Y$4:$Y$63,MATCH($A42,'INVENTORY MASTER'!$A$4:$A$63,0)),""))</f>
        <v/>
      </c>
      <c r="P42" s="17"/>
      <c r="Q42" s="18"/>
      <c r="R42" s="17"/>
      <c r="S42" s="24" t="str">
        <f aca="false">IF($A42="","",IFERROR(INDEX('INVENTORY MASTER'!$Z$4:$Z$63,MATCH($A42,'INVENTORY MASTER'!$A$4:$A$63,0)),""))</f>
        <v/>
      </c>
      <c r="T42" s="21" t="str">
        <f aca="false">IF($A42="","",IFERROR(INDEX('INVENTORY MASTER'!$AI$4:$AI$63,MATCH($A42,'INVENTORY MASTER'!$A$4:$A$63,0)),""))</f>
        <v/>
      </c>
      <c r="U42" s="21" t="str">
        <f aca="false">IF($A42="","",IFERROR(INDEX('INVENTORY MASTER'!$AM$4:$AM$63,MATCH($A42,'INVENTORY MASTER'!$A$4:$A$63,0)),""))</f>
        <v/>
      </c>
      <c r="V42" s="21" t="str">
        <f aca="false">IF($A42="","",IFERROR(INDEX('INVENTORY MASTER'!$AO$4:$AO$63,MATCH($A42,'INVENTORY MASTER'!$A$4:$A$63,0)),""))</f>
        <v/>
      </c>
      <c r="W42" s="24" t="str">
        <f aca="false">IF($A42="","",IFERROR(INDEX('INVENTORY MASTER'!$AS$4:$AS$63,MATCH($A42,'INVENTORY MASTER'!$A$4:$A$63,0)),""))</f>
        <v/>
      </c>
      <c r="X42" s="24" t="str">
        <f aca="false">IF($A42="","",IFERROR(INDEX('INVENTORY MASTER'!$AR$4:$AR$63,MATCH($A42,'INVENTORY MASTER'!$A$4:$A$63,0)),""))</f>
        <v/>
      </c>
      <c r="Y42" s="18"/>
    </row>
    <row r="43" customFormat="false" ht="15" hidden="false" customHeight="false" outlineLevel="0" collapsed="false">
      <c r="A43" s="18"/>
      <c r="B43" s="24" t="str">
        <f aca="false">IF($A43="","",IFERROR(INDEX('INVENTORY MASTER'!$G$4:$G$63,MATCH($A43,'INVENTORY MASTER'!$A$4:$A$63,0)),""))</f>
        <v/>
      </c>
      <c r="C43" s="24" t="str">
        <f aca="false">IF($A43="","",IFERROR(INDEX('INVENTORY MASTER'!$H$4:$H$63,MATCH($A43,'INVENTORY MASTER'!$A$4:$A$63,0)),""))</f>
        <v/>
      </c>
      <c r="D43" s="24" t="str">
        <f aca="false">IF($A43="","",IFERROR(INDEX('INVENTORY MASTER'!$I$4:$I$63,MATCH($A43,'INVENTORY MASTER'!$A$4:$A$63,0)),""))</f>
        <v/>
      </c>
      <c r="E43" s="24" t="str">
        <f aca="false">IF($A43="","",IFERROR(INDEX('INVENTORY MASTER'!$J$4:$J$63,MATCH($A43,'INVENTORY MASTER'!$A$4:$A$63,0)),""))</f>
        <v/>
      </c>
      <c r="F43" s="24" t="str">
        <f aca="false">IF($A43="","",IFERROR(INDEX('INVENTORY MASTER'!$V$4:$V$63,MATCH($A43,'INVENTORY MASTER'!$A$4:$A$63,0)),""))</f>
        <v/>
      </c>
      <c r="G43" s="24" t="str">
        <f aca="false">IF($A43="","",IFERROR(INDEX('INVENTORY MASTER'!$T$4:$T$63,MATCH($A43,'INVENTORY MASTER'!$A$4:$A$63,0)),""))</f>
        <v/>
      </c>
      <c r="H43" s="18"/>
      <c r="I43" s="18"/>
      <c r="J43" s="18"/>
      <c r="K43" s="24" t="str">
        <f aca="false">IF($A43="","",IFERROR(INDEX('INVENTORY MASTER'!$U$4:$U$63,MATCH($A43,'INVENTORY MASTER'!$A$4:$A$63,0)),""))</f>
        <v/>
      </c>
      <c r="L43" s="24" t="str">
        <f aca="false">IF($A43="","",IFERROR(INDEX('INVENTORY MASTER'!$U$4:$U$63,MATCH($A43,'INVENTORY MASTER'!$A$4:$A$63,0)),""))</f>
        <v/>
      </c>
      <c r="M43" s="24" t="str">
        <f aca="false">IF($A43="","",IFERROR(INDEX('INVENTORY MASTER'!$W$4:$W$63,MATCH($A43,'INVENTORY MASTER'!$A$4:$A$63,0)),""))</f>
        <v/>
      </c>
      <c r="N43" s="24" t="str">
        <f aca="false">IF($A43="","",IFERROR(INDEX('INVENTORY MASTER'!$X$4:$X$63,MATCH($A43,'INVENTORY MASTER'!$A$4:$A$63,0)),""))</f>
        <v/>
      </c>
      <c r="O43" s="24" t="str">
        <f aca="false">IF($A43="","",IFERROR(INDEX('INVENTORY MASTER'!$Y$4:$Y$63,MATCH($A43,'INVENTORY MASTER'!$A$4:$A$63,0)),""))</f>
        <v/>
      </c>
      <c r="P43" s="17"/>
      <c r="Q43" s="18"/>
      <c r="R43" s="17"/>
      <c r="S43" s="24" t="str">
        <f aca="false">IF($A43="","",IFERROR(INDEX('INVENTORY MASTER'!$Z$4:$Z$63,MATCH($A43,'INVENTORY MASTER'!$A$4:$A$63,0)),""))</f>
        <v/>
      </c>
      <c r="T43" s="21" t="str">
        <f aca="false">IF($A43="","",IFERROR(INDEX('INVENTORY MASTER'!$AI$4:$AI$63,MATCH($A43,'INVENTORY MASTER'!$A$4:$A$63,0)),""))</f>
        <v/>
      </c>
      <c r="U43" s="21" t="str">
        <f aca="false">IF($A43="","",IFERROR(INDEX('INVENTORY MASTER'!$AM$4:$AM$63,MATCH($A43,'INVENTORY MASTER'!$A$4:$A$63,0)),""))</f>
        <v/>
      </c>
      <c r="V43" s="21" t="str">
        <f aca="false">IF($A43="","",IFERROR(INDEX('INVENTORY MASTER'!$AO$4:$AO$63,MATCH($A43,'INVENTORY MASTER'!$A$4:$A$63,0)),""))</f>
        <v/>
      </c>
      <c r="W43" s="24" t="str">
        <f aca="false">IF($A43="","",IFERROR(INDEX('INVENTORY MASTER'!$AS$4:$AS$63,MATCH($A43,'INVENTORY MASTER'!$A$4:$A$63,0)),""))</f>
        <v/>
      </c>
      <c r="X43" s="24" t="str">
        <f aca="false">IF($A43="","",IFERROR(INDEX('INVENTORY MASTER'!$AR$4:$AR$63,MATCH($A43,'INVENTORY MASTER'!$A$4:$A$63,0)),""))</f>
        <v/>
      </c>
      <c r="Y43" s="18"/>
    </row>
  </sheetData>
  <sheetProtection sheet="true" password="c7e9" objects="true" scenarios="true" sort="false" autoFilter="false"/>
  <mergeCells count="2">
    <mergeCell ref="A1:Y1"/>
    <mergeCell ref="A2:Y2"/>
  </mergeCells>
  <dataValidations count="1">
    <dataValidation allowBlank="true" errorStyle="stop" operator="between" showDropDown="false" showErrorMessage="false" showInputMessage="false" sqref="A4:A43" type="list">
      <formula1>'INVENTORY MASTER'!$A$4:$A$63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1"/>
    <col collapsed="false" customWidth="true" hidden="false" outlineLevel="0" max="5" min="5" style="0" width="14"/>
    <col collapsed="false" customWidth="true" hidden="false" outlineLevel="0" max="7" min="6" style="0" width="19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24"/>
    <col collapsed="false" customWidth="true" hidden="false" outlineLevel="0" max="13" min="13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16" min="16" style="0" width="19"/>
    <col collapsed="false" customWidth="true" hidden="false" outlineLevel="0" max="17" min="17" style="0" width="11"/>
    <col collapsed="false" customWidth="true" hidden="false" outlineLevel="0" max="18" min="18" style="0" width="22"/>
    <col collapsed="false" customWidth="true" hidden="false" outlineLevel="0" max="19" min="19" style="0" width="14"/>
    <col collapsed="false" customWidth="true" hidden="false" outlineLevel="0" max="20" min="20" style="0" width="13"/>
    <col collapsed="false" customWidth="true" hidden="false" outlineLevel="0" max="21" min="21" style="0" width="18"/>
    <col collapsed="false" customWidth="true" hidden="false" outlineLevel="0" max="22" min="22" style="0" width="17"/>
    <col collapsed="false" customWidth="true" hidden="false" outlineLevel="0" max="23" min="23" style="0" width="24"/>
    <col collapsed="false" customWidth="true" hidden="false" outlineLevel="0" max="24" min="24" style="0" width="25"/>
    <col collapsed="false" customWidth="true" hidden="false" outlineLevel="0" max="25" min="25" style="0" width="11"/>
    <col collapsed="false" customWidth="true" hidden="false" outlineLevel="0" max="26" min="26" style="0" width="12"/>
    <col collapsed="false" customWidth="true" hidden="false" outlineLevel="0" max="27" min="27" style="0" width="11"/>
  </cols>
  <sheetData>
    <row r="1" customFormat="false" ht="30" hidden="false" customHeight="true" outlineLevel="0" collapsed="false">
      <c r="A1" s="1" t="s">
        <v>341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.75" hidden="false" customHeight="true" outlineLevel="0" collapsed="false">
      <c r="A2" s="2" t="s">
        <v>342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5.5" hidden="false" customHeight="true" outlineLevel="0" collapsed="false">
      <c r="A3" s="15" t="s">
        <v>169</v>
      </c>
      <c r="B3" s="15" t="s">
        <v>343</v>
      </c>
      <c r="C3" s="15" t="s">
        <v>179</v>
      </c>
      <c r="D3" s="15" t="s">
        <v>344</v>
      </c>
      <c r="E3" s="15" t="s">
        <v>181</v>
      </c>
      <c r="F3" s="15" t="s">
        <v>345</v>
      </c>
      <c r="G3" s="15" t="s">
        <v>346</v>
      </c>
      <c r="H3" s="15" t="s">
        <v>347</v>
      </c>
      <c r="I3" s="15" t="s">
        <v>183</v>
      </c>
      <c r="J3" s="15" t="s">
        <v>348</v>
      </c>
      <c r="K3" s="15" t="s">
        <v>349</v>
      </c>
      <c r="L3" s="15" t="s">
        <v>350</v>
      </c>
      <c r="M3" s="15" t="s">
        <v>351</v>
      </c>
      <c r="N3" s="15" t="s">
        <v>352</v>
      </c>
      <c r="O3" s="15" t="s">
        <v>184</v>
      </c>
      <c r="P3" s="15" t="s">
        <v>185</v>
      </c>
      <c r="Q3" s="15" t="s">
        <v>353</v>
      </c>
      <c r="R3" s="15" t="s">
        <v>354</v>
      </c>
      <c r="S3" s="15" t="s">
        <v>355</v>
      </c>
      <c r="T3" s="15" t="s">
        <v>186</v>
      </c>
      <c r="U3" s="15" t="s">
        <v>356</v>
      </c>
      <c r="V3" s="15" t="s">
        <v>357</v>
      </c>
      <c r="W3" s="15" t="s">
        <v>206</v>
      </c>
      <c r="X3" s="15" t="s">
        <v>358</v>
      </c>
      <c r="Y3" s="15" t="s">
        <v>339</v>
      </c>
      <c r="Z3" s="15" t="s">
        <v>340</v>
      </c>
      <c r="AA3" s="15" t="s">
        <v>221</v>
      </c>
    </row>
    <row r="4" customFormat="false" ht="15" hidden="false" customHeight="false" outlineLevel="0" collapsed="false">
      <c r="A4" s="18" t="s">
        <v>246</v>
      </c>
      <c r="B4" s="24" t="str">
        <f aca="false">IF($A4="","",IFERROR(INDEX('INVENTORY MASTER'!$F$4:$F$63,MATCH($A4,'INVENTORY MASTER'!$A$4:$A$63,0)),""))</f>
        <v>Solitaire Ring</v>
      </c>
      <c r="C4" s="24" t="str">
        <f aca="false">IF($A4="","",IFERROR(INDEX('INVENTORY MASTER'!$L$4:$L$63,MATCH($A4,'INVENTORY MASTER'!$A$4:$A$63,0)),""))</f>
        <v>Platinum</v>
      </c>
      <c r="D4" s="24" t="str">
        <f aca="false">IF($A4="","",IFERROR(INDEX('INVENTORY MASTER'!$M$4:$M$63,MATCH($A4,'INVENTORY MASTER'!$A$4:$A$63,0)),""))</f>
        <v>950 Platinum</v>
      </c>
      <c r="E4" s="25" t="n">
        <f aca="false">IF($A4="","",IFERROR(INDEX('INVENTORY MASTER'!$N$4:$N$63,MATCH($A4,'INVENTORY MASTER'!$A$4:$A$63,0)),""))</f>
        <v>5.2</v>
      </c>
      <c r="F4" s="22"/>
      <c r="G4" s="22" t="str">
        <f aca="false">IF(OR($A4="",E4="",F4=""),"",E4*F4)</f>
        <v/>
      </c>
      <c r="H4" s="24" t="str">
        <f aca="false">IF($A4="","",IFERROR(INDEX('INVENTORY MASTER'!$O$4:$O$63,MATCH($A4,'INVENTORY MASTER'!$A$4:$A$63,0)),""))</f>
        <v>Diamond</v>
      </c>
      <c r="I4" s="25" t="n">
        <f aca="false">IF($A4="","",IFERROR(INDEX('INVENTORY MASTER'!$P$4:$P$63,MATCH($A4,'INVENTORY MASTER'!$A$4:$A$63,0)),""))</f>
        <v>1.01</v>
      </c>
      <c r="J4" s="22" t="n">
        <v>2500</v>
      </c>
      <c r="K4" s="26" t="n">
        <v>0.1</v>
      </c>
      <c r="L4" s="22" t="str">
        <f aca="false">IF(OR(G4="",K4=""),"",(G4+N(J4))*(1+K4))</f>
        <v/>
      </c>
      <c r="M4" s="26" t="n">
        <v>0.5</v>
      </c>
      <c r="N4" s="22" t="str">
        <f aca="false">IF(OR(G4="",M4=""),"",(G4+N(J4))*(1+M4))</f>
        <v/>
      </c>
      <c r="O4" s="24" t="str">
        <f aca="false">IF($A4="","",IFERROR(INDEX('INVENTORY MASTER'!$Q$4:$Q$63,MATCH($A4,'INVENTORY MASTER'!$A$4:$A$63,0)),""))</f>
        <v>F</v>
      </c>
      <c r="P4" s="24" t="str">
        <f aca="false">IF($A4="","",IFERROR(INDEX('INVENTORY MASTER'!$R$4:$R$63,MATCH($A4,'INVENTORY MASTER'!$A$4:$A$63,0)),""))</f>
        <v>VS1</v>
      </c>
      <c r="Q4" s="18"/>
      <c r="R4" s="18"/>
      <c r="S4" s="18"/>
      <c r="T4" s="24" t="str">
        <f aca="false">IF($A4="","",IFERROR(INDEX('INVENTORY MASTER'!$S$4:$S$63,MATCH($A4,'INVENTORY MASTER'!$A$4:$A$63,0)),""))</f>
        <v>M</v>
      </c>
      <c r="U4" s="21" t="n">
        <f aca="false">IF($A4="","",IFERROR(INDEX('INVENTORY MASTER'!$AI$4:$AI$63,MATCH($A4,'INVENTORY MASTER'!$A$4:$A$63,0)),""))</f>
        <v>3550</v>
      </c>
      <c r="V4" s="22" t="n">
        <f aca="false">IF(OR($A4="",E4="",E4=0),"",U4/E4)</f>
        <v>682.692307692308</v>
      </c>
      <c r="W4" s="21" t="n">
        <f aca="false">IF($A4="","",IFERROR(INDEX('INVENTORY MASTER'!$AM$4:$AM$63,MATCH($A4,'INVENTORY MASTER'!$A$4:$A$63,0)),""))</f>
        <v>5500</v>
      </c>
      <c r="X4" s="21" t="n">
        <f aca="false">IF($A4="","",IFERROR(INDEX('INVENTORY MASTER'!$AO$4:$AO$63,MATCH($A4,'INVENTORY MASTER'!$A$4:$A$63,0)),""))</f>
        <v>5500</v>
      </c>
      <c r="Y4" s="24" t="str">
        <f aca="false">IF($A4="","",IFERROR(INDEX('INVENTORY MASTER'!$AS$4:$AS$63,MATCH($A4,'INVENTORY MASTER'!$A$4:$A$63,0)),""))</f>
        <v>Available</v>
      </c>
      <c r="Z4" s="24" t="str">
        <f aca="false">IF($A4="","",IFERROR(INDEX('INVENTORY MASTER'!$AR$4:$AR$63,MATCH($A4,'INVENTORY MASTER'!$A$4:$A$63,0)),""))</f>
        <v>Shop Display</v>
      </c>
      <c r="AA4" s="18"/>
    </row>
    <row r="5" customFormat="false" ht="15" hidden="false" customHeight="false" outlineLevel="0" collapsed="false">
      <c r="A5" s="18" t="s">
        <v>285</v>
      </c>
      <c r="B5" s="24" t="str">
        <f aca="false">IF($A5="","",IFERROR(INDEX('INVENTORY MASTER'!$F$4:$F$63,MATCH($A5,'INVENTORY MASTER'!$A$4:$A$63,0)),""))</f>
        <v>Chain Necklace</v>
      </c>
      <c r="C5" s="24" t="str">
        <f aca="false">IF($A5="","",IFERROR(INDEX('INVENTORY MASTER'!$L$4:$L$63,MATCH($A5,'INVENTORY MASTER'!$A$4:$A$63,0)),""))</f>
        <v>Gold</v>
      </c>
      <c r="D5" s="24" t="str">
        <f aca="false">IF($A5="","",IFERROR(INDEX('INVENTORY MASTER'!$M$4:$M$63,MATCH($A5,'INVENTORY MASTER'!$A$4:$A$63,0)),""))</f>
        <v>18ct</v>
      </c>
      <c r="E5" s="25" t="n">
        <f aca="false">IF($A5="","",IFERROR(INDEX('INVENTORY MASTER'!$N$4:$N$63,MATCH($A5,'INVENTORY MASTER'!$A$4:$A$63,0)),""))</f>
        <v>22.5</v>
      </c>
      <c r="F5" s="22" t="n">
        <v>55</v>
      </c>
      <c r="G5" s="22" t="n">
        <f aca="false">IF(OR($A5="",E5="",F5=""),"",E5*F5)</f>
        <v>1237.5</v>
      </c>
      <c r="H5" s="24" t="n">
        <f aca="false">IF($A5="","",IFERROR(INDEX('INVENTORY MASTER'!$O$4:$O$63,MATCH($A5,'INVENTORY MASTER'!$A$4:$A$63,0)),""))</f>
        <v>0</v>
      </c>
      <c r="I5" s="25" t="n">
        <f aca="false">IF($A5="","",IFERROR(INDEX('INVENTORY MASTER'!$P$4:$P$63,MATCH($A5,'INVENTORY MASTER'!$A$4:$A$63,0)),""))</f>
        <v>0</v>
      </c>
      <c r="J5" s="22" t="n">
        <v>0</v>
      </c>
      <c r="K5" s="26" t="n">
        <v>0.08</v>
      </c>
      <c r="L5" s="22" t="n">
        <f aca="false">IF(OR(G5="",K5=""),"",(G5+N(J5))*(1+K5))</f>
        <v>1336.5</v>
      </c>
      <c r="M5" s="26" t="n">
        <v>0.45</v>
      </c>
      <c r="N5" s="22" t="n">
        <f aca="false">IF(OR(G5="",M5=""),"",(G5+N(J5))*(1+M5))</f>
        <v>1794.375</v>
      </c>
      <c r="O5" s="24" t="n">
        <f aca="false">IF($A5="","",IFERROR(INDEX('INVENTORY MASTER'!$Q$4:$Q$63,MATCH($A5,'INVENTORY MASTER'!$A$4:$A$63,0)),""))</f>
        <v>0</v>
      </c>
      <c r="P5" s="24" t="n">
        <f aca="false">IF($A5="","",IFERROR(INDEX('INVENTORY MASTER'!$R$4:$R$63,MATCH($A5,'INVENTORY MASTER'!$A$4:$A$63,0)),""))</f>
        <v>0</v>
      </c>
      <c r="Q5" s="18"/>
      <c r="R5" s="18"/>
      <c r="S5" s="18"/>
      <c r="T5" s="24" t="n">
        <f aca="false">IF($A5="","",IFERROR(INDEX('INVENTORY MASTER'!$S$4:$S$63,MATCH($A5,'INVENTORY MASTER'!$A$4:$A$63,0)),""))</f>
        <v>0</v>
      </c>
      <c r="U5" s="21" t="n">
        <f aca="false">IF($A5="","",IFERROR(INDEX('INVENTORY MASTER'!$AI$4:$AI$63,MATCH($A5,'INVENTORY MASTER'!$A$4:$A$63,0)),""))</f>
        <v>1500</v>
      </c>
      <c r="V5" s="22" t="n">
        <f aca="false">IF(OR($A5="",E5="",E5=0),"",U5/E5)</f>
        <v>66.6666666666667</v>
      </c>
      <c r="W5" s="21" t="n">
        <f aca="false">IF($A5="","",IFERROR(INDEX('INVENTORY MASTER'!$AM$4:$AM$63,MATCH($A5,'INVENTORY MASTER'!$A$4:$A$63,0)),""))</f>
        <v>2200</v>
      </c>
      <c r="X5" s="21" t="n">
        <f aca="false">IF($A5="","",IFERROR(INDEX('INVENTORY MASTER'!$AO$4:$AO$63,MATCH($A5,'INVENTORY MASTER'!$A$4:$A$63,0)),""))</f>
        <v>2200</v>
      </c>
      <c r="Y5" s="24" t="str">
        <f aca="false">IF($A5="","",IFERROR(INDEX('INVENTORY MASTER'!$AS$4:$AS$63,MATCH($A5,'INVENTORY MASTER'!$A$4:$A$63,0)),""))</f>
        <v>Available</v>
      </c>
      <c r="Z5" s="24" t="str">
        <f aca="false">IF($A5="","",IFERROR(INDEX('INVENTORY MASTER'!$AR$4:$AR$63,MATCH($A5,'INVENTORY MASTER'!$A$4:$A$63,0)),""))</f>
        <v>Shop Safe</v>
      </c>
      <c r="AA5" s="18"/>
    </row>
    <row r="6" customFormat="false" ht="15" hidden="false" customHeight="false" outlineLevel="0" collapsed="false">
      <c r="A6" s="18" t="s">
        <v>309</v>
      </c>
      <c r="B6" s="24" t="str">
        <f aca="false">IF($A6="","",IFERROR(INDEX('INVENTORY MASTER'!$F$4:$F$63,MATCH($A6,'INVENTORY MASTER'!$A$4:$A$63,0)),""))</f>
        <v>Bangle</v>
      </c>
      <c r="C6" s="24" t="str">
        <f aca="false">IF($A6="","",IFERROR(INDEX('INVENTORY MASTER'!$L$4:$L$63,MATCH($A6,'INVENTORY MASTER'!$A$4:$A$63,0)),""))</f>
        <v>Gold</v>
      </c>
      <c r="D6" s="24" t="str">
        <f aca="false">IF($A6="","",IFERROR(INDEX('INVENTORY MASTER'!$M$4:$M$63,MATCH($A6,'INVENTORY MASTER'!$A$4:$A$63,0)),""))</f>
        <v>22ct</v>
      </c>
      <c r="E6" s="25" t="n">
        <f aca="false">IF($A6="","",IFERROR(INDEX('INVENTORY MASTER'!$N$4:$N$63,MATCH($A6,'INVENTORY MASTER'!$A$4:$A$63,0)),""))</f>
        <v>18</v>
      </c>
      <c r="F6" s="22" t="n">
        <v>68</v>
      </c>
      <c r="G6" s="22" t="n">
        <f aca="false">IF(OR($A6="",E6="",F6=""),"",E6*F6)</f>
        <v>1224</v>
      </c>
      <c r="H6" s="24" t="str">
        <f aca="false">IF($A6="","",IFERROR(INDEX('INVENTORY MASTER'!$O$4:$O$63,MATCH($A6,'INVENTORY MASTER'!$A$4:$A$63,0)),""))</f>
        <v>None</v>
      </c>
      <c r="I6" s="25" t="n">
        <f aca="false">IF($A6="","",IFERROR(INDEX('INVENTORY MASTER'!$P$4:$P$63,MATCH($A6,'INVENTORY MASTER'!$A$4:$A$63,0)),""))</f>
        <v>0</v>
      </c>
      <c r="J6" s="22" t="n">
        <v>0</v>
      </c>
      <c r="K6" s="26" t="n">
        <v>0.06</v>
      </c>
      <c r="L6" s="22" t="n">
        <f aca="false">IF(OR(G6="",K6=""),"",(G6+N(J6))*(1+K6))</f>
        <v>1297.44</v>
      </c>
      <c r="M6" s="26" t="n">
        <v>0.4</v>
      </c>
      <c r="N6" s="22" t="n">
        <f aca="false">IF(OR(G6="",M6=""),"",(G6+N(J6))*(1+M6))</f>
        <v>1713.6</v>
      </c>
      <c r="O6" s="24" t="n">
        <f aca="false">IF($A6="","",IFERROR(INDEX('INVENTORY MASTER'!$Q$4:$Q$63,MATCH($A6,'INVENTORY MASTER'!$A$4:$A$63,0)),""))</f>
        <v>0</v>
      </c>
      <c r="P6" s="24" t="n">
        <f aca="false">IF($A6="","",IFERROR(INDEX('INVENTORY MASTER'!$R$4:$R$63,MATCH($A6,'INVENTORY MASTER'!$A$4:$A$63,0)),""))</f>
        <v>0</v>
      </c>
      <c r="Q6" s="18"/>
      <c r="R6" s="18"/>
      <c r="S6" s="18"/>
      <c r="T6" s="24" t="n">
        <f aca="false">IF($A6="","",IFERROR(INDEX('INVENTORY MASTER'!$S$4:$S$63,MATCH($A6,'INVENTORY MASTER'!$A$4:$A$63,0)),""))</f>
        <v>0</v>
      </c>
      <c r="U6" s="21" t="n">
        <f aca="false">IF($A6="","",IFERROR(INDEX('INVENTORY MASTER'!$AI$4:$AI$63,MATCH($A6,'INVENTORY MASTER'!$A$4:$A$63,0)),""))</f>
        <v>1650</v>
      </c>
      <c r="V6" s="22" t="n">
        <f aca="false">IF(OR($A6="",E6="",E6=0),"",U6/E6)</f>
        <v>91.6666666666667</v>
      </c>
      <c r="W6" s="21" t="n">
        <f aca="false">IF($A6="","",IFERROR(INDEX('INVENTORY MASTER'!$AM$4:$AM$63,MATCH($A6,'INVENTORY MASTER'!$A$4:$A$63,0)),""))</f>
        <v>2400</v>
      </c>
      <c r="X6" s="21" t="n">
        <f aca="false">IF($A6="","",IFERROR(INDEX('INVENTORY MASTER'!$AO$4:$AO$63,MATCH($A6,'INVENTORY MASTER'!$A$4:$A$63,0)),""))</f>
        <v>2400</v>
      </c>
      <c r="Y6" s="24" t="str">
        <f aca="false">IF($A6="","",IFERROR(INDEX('INVENTORY MASTER'!$AS$4:$AS$63,MATCH($A6,'INVENTORY MASTER'!$A$4:$A$63,0)),""))</f>
        <v>Available</v>
      </c>
      <c r="Z6" s="24" t="str">
        <f aca="false">IF($A6="","",IFERROR(INDEX('INVENTORY MASTER'!$AR$4:$AR$63,MATCH($A6,'INVENTORY MASTER'!$A$4:$A$63,0)),""))</f>
        <v>Shop Safe</v>
      </c>
      <c r="AA6" s="18"/>
    </row>
    <row r="7" customFormat="false" ht="15" hidden="false" customHeight="false" outlineLevel="0" collapsed="false">
      <c r="A7" s="18"/>
      <c r="B7" s="24" t="str">
        <f aca="false">IF($A7="","",IFERROR(INDEX('INVENTORY MASTER'!$F$4:$F$63,MATCH($A7,'INVENTORY MASTER'!$A$4:$A$63,0)),""))</f>
        <v/>
      </c>
      <c r="C7" s="24" t="str">
        <f aca="false">IF($A7="","",IFERROR(INDEX('INVENTORY MASTER'!$L$4:$L$63,MATCH($A7,'INVENTORY MASTER'!$A$4:$A$63,0)),""))</f>
        <v/>
      </c>
      <c r="D7" s="24" t="str">
        <f aca="false">IF($A7="","",IFERROR(INDEX('INVENTORY MASTER'!$M$4:$M$63,MATCH($A7,'INVENTORY MASTER'!$A$4:$A$63,0)),""))</f>
        <v/>
      </c>
      <c r="E7" s="25" t="str">
        <f aca="false">IF($A7="","",IFERROR(INDEX('INVENTORY MASTER'!$N$4:$N$63,MATCH($A7,'INVENTORY MASTER'!$A$4:$A$63,0)),""))</f>
        <v/>
      </c>
      <c r="F7" s="22"/>
      <c r="G7" s="22" t="str">
        <f aca="false">IF(OR($A7="",E7="",F7=""),"",E7*F7)</f>
        <v/>
      </c>
      <c r="H7" s="24" t="str">
        <f aca="false">IF($A7="","",IFERROR(INDEX('INVENTORY MASTER'!$O$4:$O$63,MATCH($A7,'INVENTORY MASTER'!$A$4:$A$63,0)),""))</f>
        <v/>
      </c>
      <c r="I7" s="25" t="str">
        <f aca="false">IF($A7="","",IFERROR(INDEX('INVENTORY MASTER'!$P$4:$P$63,MATCH($A7,'INVENTORY MASTER'!$A$4:$A$63,0)),""))</f>
        <v/>
      </c>
      <c r="J7" s="22"/>
      <c r="K7" s="26"/>
      <c r="L7" s="22" t="str">
        <f aca="false">IF(OR(G7="",K7=""),"",(G7+N(J7))*(1+K7))</f>
        <v/>
      </c>
      <c r="M7" s="26"/>
      <c r="N7" s="22" t="str">
        <f aca="false">IF(OR(G7="",M7=""),"",(G7+N(J7))*(1+M7))</f>
        <v/>
      </c>
      <c r="O7" s="24" t="str">
        <f aca="false">IF($A7="","",IFERROR(INDEX('INVENTORY MASTER'!$Q$4:$Q$63,MATCH($A7,'INVENTORY MASTER'!$A$4:$A$63,0)),""))</f>
        <v/>
      </c>
      <c r="P7" s="24" t="str">
        <f aca="false">IF($A7="","",IFERROR(INDEX('INVENTORY MASTER'!$R$4:$R$63,MATCH($A7,'INVENTORY MASTER'!$A$4:$A$63,0)),""))</f>
        <v/>
      </c>
      <c r="Q7" s="18"/>
      <c r="R7" s="18"/>
      <c r="S7" s="18"/>
      <c r="T7" s="24" t="str">
        <f aca="false">IF($A7="","",IFERROR(INDEX('INVENTORY MASTER'!$S$4:$S$63,MATCH($A7,'INVENTORY MASTER'!$A$4:$A$63,0)),""))</f>
        <v/>
      </c>
      <c r="U7" s="21" t="str">
        <f aca="false">IF($A7="","",IFERROR(INDEX('INVENTORY MASTER'!$AI$4:$AI$63,MATCH($A7,'INVENTORY MASTER'!$A$4:$A$63,0)),""))</f>
        <v/>
      </c>
      <c r="V7" s="22" t="str">
        <f aca="false">IF(OR($A7="",E7="",E7=0),"",U7/E7)</f>
        <v/>
      </c>
      <c r="W7" s="21" t="str">
        <f aca="false">IF($A7="","",IFERROR(INDEX('INVENTORY MASTER'!$AM$4:$AM$63,MATCH($A7,'INVENTORY MASTER'!$A$4:$A$63,0)),""))</f>
        <v/>
      </c>
      <c r="X7" s="21" t="str">
        <f aca="false">IF($A7="","",IFERROR(INDEX('INVENTORY MASTER'!$AO$4:$AO$63,MATCH($A7,'INVENTORY MASTER'!$A$4:$A$63,0)),""))</f>
        <v/>
      </c>
      <c r="Y7" s="24" t="str">
        <f aca="false">IF($A7="","",IFERROR(INDEX('INVENTORY MASTER'!$AS$4:$AS$63,MATCH($A7,'INVENTORY MASTER'!$A$4:$A$63,0)),""))</f>
        <v/>
      </c>
      <c r="Z7" s="24" t="str">
        <f aca="false">IF($A7="","",IFERROR(INDEX('INVENTORY MASTER'!$AR$4:$AR$63,MATCH($A7,'INVENTORY MASTER'!$A$4:$A$63,0)),""))</f>
        <v/>
      </c>
      <c r="AA7" s="18"/>
    </row>
    <row r="8" customFormat="false" ht="15" hidden="false" customHeight="false" outlineLevel="0" collapsed="false">
      <c r="A8" s="18"/>
      <c r="B8" s="24" t="str">
        <f aca="false">IF($A8="","",IFERROR(INDEX('INVENTORY MASTER'!$F$4:$F$63,MATCH($A8,'INVENTORY MASTER'!$A$4:$A$63,0)),""))</f>
        <v/>
      </c>
      <c r="C8" s="24" t="str">
        <f aca="false">IF($A8="","",IFERROR(INDEX('INVENTORY MASTER'!$L$4:$L$63,MATCH($A8,'INVENTORY MASTER'!$A$4:$A$63,0)),""))</f>
        <v/>
      </c>
      <c r="D8" s="24" t="str">
        <f aca="false">IF($A8="","",IFERROR(INDEX('INVENTORY MASTER'!$M$4:$M$63,MATCH($A8,'INVENTORY MASTER'!$A$4:$A$63,0)),""))</f>
        <v/>
      </c>
      <c r="E8" s="25" t="str">
        <f aca="false">IF($A8="","",IFERROR(INDEX('INVENTORY MASTER'!$N$4:$N$63,MATCH($A8,'INVENTORY MASTER'!$A$4:$A$63,0)),""))</f>
        <v/>
      </c>
      <c r="F8" s="22"/>
      <c r="G8" s="22" t="str">
        <f aca="false">IF(OR($A8="",E8="",F8=""),"",E8*F8)</f>
        <v/>
      </c>
      <c r="H8" s="24" t="str">
        <f aca="false">IF($A8="","",IFERROR(INDEX('INVENTORY MASTER'!$O$4:$O$63,MATCH($A8,'INVENTORY MASTER'!$A$4:$A$63,0)),""))</f>
        <v/>
      </c>
      <c r="I8" s="25" t="str">
        <f aca="false">IF($A8="","",IFERROR(INDEX('INVENTORY MASTER'!$P$4:$P$63,MATCH($A8,'INVENTORY MASTER'!$A$4:$A$63,0)),""))</f>
        <v/>
      </c>
      <c r="J8" s="22"/>
      <c r="K8" s="26"/>
      <c r="L8" s="22" t="str">
        <f aca="false">IF(OR(G8="",K8=""),"",(G8+N(J8))*(1+K8))</f>
        <v/>
      </c>
      <c r="M8" s="26"/>
      <c r="N8" s="22" t="str">
        <f aca="false">IF(OR(G8="",M8=""),"",(G8+N(J8))*(1+M8))</f>
        <v/>
      </c>
      <c r="O8" s="24" t="str">
        <f aca="false">IF($A8="","",IFERROR(INDEX('INVENTORY MASTER'!$Q$4:$Q$63,MATCH($A8,'INVENTORY MASTER'!$A$4:$A$63,0)),""))</f>
        <v/>
      </c>
      <c r="P8" s="24" t="str">
        <f aca="false">IF($A8="","",IFERROR(INDEX('INVENTORY MASTER'!$R$4:$R$63,MATCH($A8,'INVENTORY MASTER'!$A$4:$A$63,0)),""))</f>
        <v/>
      </c>
      <c r="Q8" s="18"/>
      <c r="R8" s="18"/>
      <c r="S8" s="18"/>
      <c r="T8" s="24" t="str">
        <f aca="false">IF($A8="","",IFERROR(INDEX('INVENTORY MASTER'!$S$4:$S$63,MATCH($A8,'INVENTORY MASTER'!$A$4:$A$63,0)),""))</f>
        <v/>
      </c>
      <c r="U8" s="21" t="str">
        <f aca="false">IF($A8="","",IFERROR(INDEX('INVENTORY MASTER'!$AI$4:$AI$63,MATCH($A8,'INVENTORY MASTER'!$A$4:$A$63,0)),""))</f>
        <v/>
      </c>
      <c r="V8" s="22" t="str">
        <f aca="false">IF(OR($A8="",E8="",E8=0),"",U8/E8)</f>
        <v/>
      </c>
      <c r="W8" s="21" t="str">
        <f aca="false">IF($A8="","",IFERROR(INDEX('INVENTORY MASTER'!$AM$4:$AM$63,MATCH($A8,'INVENTORY MASTER'!$A$4:$A$63,0)),""))</f>
        <v/>
      </c>
      <c r="X8" s="21" t="str">
        <f aca="false">IF($A8="","",IFERROR(INDEX('INVENTORY MASTER'!$AO$4:$AO$63,MATCH($A8,'INVENTORY MASTER'!$A$4:$A$63,0)),""))</f>
        <v/>
      </c>
      <c r="Y8" s="24" t="str">
        <f aca="false">IF($A8="","",IFERROR(INDEX('INVENTORY MASTER'!$AS$4:$AS$63,MATCH($A8,'INVENTORY MASTER'!$A$4:$A$63,0)),""))</f>
        <v/>
      </c>
      <c r="Z8" s="24" t="str">
        <f aca="false">IF($A8="","",IFERROR(INDEX('INVENTORY MASTER'!$AR$4:$AR$63,MATCH($A8,'INVENTORY MASTER'!$A$4:$A$63,0)),""))</f>
        <v/>
      </c>
      <c r="AA8" s="18"/>
    </row>
    <row r="9" customFormat="false" ht="15" hidden="false" customHeight="false" outlineLevel="0" collapsed="false">
      <c r="A9" s="18"/>
      <c r="B9" s="24" t="str">
        <f aca="false">IF($A9="","",IFERROR(INDEX('INVENTORY MASTER'!$F$4:$F$63,MATCH($A9,'INVENTORY MASTER'!$A$4:$A$63,0)),""))</f>
        <v/>
      </c>
      <c r="C9" s="24" t="str">
        <f aca="false">IF($A9="","",IFERROR(INDEX('INVENTORY MASTER'!$L$4:$L$63,MATCH($A9,'INVENTORY MASTER'!$A$4:$A$63,0)),""))</f>
        <v/>
      </c>
      <c r="D9" s="24" t="str">
        <f aca="false">IF($A9="","",IFERROR(INDEX('INVENTORY MASTER'!$M$4:$M$63,MATCH($A9,'INVENTORY MASTER'!$A$4:$A$63,0)),""))</f>
        <v/>
      </c>
      <c r="E9" s="25" t="str">
        <f aca="false">IF($A9="","",IFERROR(INDEX('INVENTORY MASTER'!$N$4:$N$63,MATCH($A9,'INVENTORY MASTER'!$A$4:$A$63,0)),""))</f>
        <v/>
      </c>
      <c r="F9" s="22"/>
      <c r="G9" s="22" t="str">
        <f aca="false">IF(OR($A9="",E9="",F9=""),"",E9*F9)</f>
        <v/>
      </c>
      <c r="H9" s="24" t="str">
        <f aca="false">IF($A9="","",IFERROR(INDEX('INVENTORY MASTER'!$O$4:$O$63,MATCH($A9,'INVENTORY MASTER'!$A$4:$A$63,0)),""))</f>
        <v/>
      </c>
      <c r="I9" s="25" t="str">
        <f aca="false">IF($A9="","",IFERROR(INDEX('INVENTORY MASTER'!$P$4:$P$63,MATCH($A9,'INVENTORY MASTER'!$A$4:$A$63,0)),""))</f>
        <v/>
      </c>
      <c r="J9" s="22"/>
      <c r="K9" s="26"/>
      <c r="L9" s="22" t="str">
        <f aca="false">IF(OR(G9="",K9=""),"",(G9+N(J9))*(1+K9))</f>
        <v/>
      </c>
      <c r="M9" s="26"/>
      <c r="N9" s="22" t="str">
        <f aca="false">IF(OR(G9="",M9=""),"",(G9+N(J9))*(1+M9))</f>
        <v/>
      </c>
      <c r="O9" s="24" t="str">
        <f aca="false">IF($A9="","",IFERROR(INDEX('INVENTORY MASTER'!$Q$4:$Q$63,MATCH($A9,'INVENTORY MASTER'!$A$4:$A$63,0)),""))</f>
        <v/>
      </c>
      <c r="P9" s="24" t="str">
        <f aca="false">IF($A9="","",IFERROR(INDEX('INVENTORY MASTER'!$R$4:$R$63,MATCH($A9,'INVENTORY MASTER'!$A$4:$A$63,0)),""))</f>
        <v/>
      </c>
      <c r="Q9" s="18"/>
      <c r="R9" s="18"/>
      <c r="S9" s="18"/>
      <c r="T9" s="24" t="str">
        <f aca="false">IF($A9="","",IFERROR(INDEX('INVENTORY MASTER'!$S$4:$S$63,MATCH($A9,'INVENTORY MASTER'!$A$4:$A$63,0)),""))</f>
        <v/>
      </c>
      <c r="U9" s="21" t="str">
        <f aca="false">IF($A9="","",IFERROR(INDEX('INVENTORY MASTER'!$AI$4:$AI$63,MATCH($A9,'INVENTORY MASTER'!$A$4:$A$63,0)),""))</f>
        <v/>
      </c>
      <c r="V9" s="22" t="str">
        <f aca="false">IF(OR($A9="",E9="",E9=0),"",U9/E9)</f>
        <v/>
      </c>
      <c r="W9" s="21" t="str">
        <f aca="false">IF($A9="","",IFERROR(INDEX('INVENTORY MASTER'!$AM$4:$AM$63,MATCH($A9,'INVENTORY MASTER'!$A$4:$A$63,0)),""))</f>
        <v/>
      </c>
      <c r="X9" s="21" t="str">
        <f aca="false">IF($A9="","",IFERROR(INDEX('INVENTORY MASTER'!$AO$4:$AO$63,MATCH($A9,'INVENTORY MASTER'!$A$4:$A$63,0)),""))</f>
        <v/>
      </c>
      <c r="Y9" s="24" t="str">
        <f aca="false">IF($A9="","",IFERROR(INDEX('INVENTORY MASTER'!$AS$4:$AS$63,MATCH($A9,'INVENTORY MASTER'!$A$4:$A$63,0)),""))</f>
        <v/>
      </c>
      <c r="Z9" s="24" t="str">
        <f aca="false">IF($A9="","",IFERROR(INDEX('INVENTORY MASTER'!$AR$4:$AR$63,MATCH($A9,'INVENTORY MASTER'!$A$4:$A$63,0)),""))</f>
        <v/>
      </c>
      <c r="AA9" s="18"/>
    </row>
    <row r="10" customFormat="false" ht="15" hidden="false" customHeight="false" outlineLevel="0" collapsed="false">
      <c r="A10" s="18"/>
      <c r="B10" s="24" t="str">
        <f aca="false">IF($A10="","",IFERROR(INDEX('INVENTORY MASTER'!$F$4:$F$63,MATCH($A10,'INVENTORY MASTER'!$A$4:$A$63,0)),""))</f>
        <v/>
      </c>
      <c r="C10" s="24" t="str">
        <f aca="false">IF($A10="","",IFERROR(INDEX('INVENTORY MASTER'!$L$4:$L$63,MATCH($A10,'INVENTORY MASTER'!$A$4:$A$63,0)),""))</f>
        <v/>
      </c>
      <c r="D10" s="24" t="str">
        <f aca="false">IF($A10="","",IFERROR(INDEX('INVENTORY MASTER'!$M$4:$M$63,MATCH($A10,'INVENTORY MASTER'!$A$4:$A$63,0)),""))</f>
        <v/>
      </c>
      <c r="E10" s="25" t="str">
        <f aca="false">IF($A10="","",IFERROR(INDEX('INVENTORY MASTER'!$N$4:$N$63,MATCH($A10,'INVENTORY MASTER'!$A$4:$A$63,0)),""))</f>
        <v/>
      </c>
      <c r="F10" s="22"/>
      <c r="G10" s="22" t="str">
        <f aca="false">IF(OR($A10="",E10="",F10=""),"",E10*F10)</f>
        <v/>
      </c>
      <c r="H10" s="24" t="str">
        <f aca="false">IF($A10="","",IFERROR(INDEX('INVENTORY MASTER'!$O$4:$O$63,MATCH($A10,'INVENTORY MASTER'!$A$4:$A$63,0)),""))</f>
        <v/>
      </c>
      <c r="I10" s="25" t="str">
        <f aca="false">IF($A10="","",IFERROR(INDEX('INVENTORY MASTER'!$P$4:$P$63,MATCH($A10,'INVENTORY MASTER'!$A$4:$A$63,0)),""))</f>
        <v/>
      </c>
      <c r="J10" s="22"/>
      <c r="K10" s="26"/>
      <c r="L10" s="22" t="str">
        <f aca="false">IF(OR(G10="",K10=""),"",(G10+N(J10))*(1+K10))</f>
        <v/>
      </c>
      <c r="M10" s="26"/>
      <c r="N10" s="22" t="str">
        <f aca="false">IF(OR(G10="",M10=""),"",(G10+N(J10))*(1+M10))</f>
        <v/>
      </c>
      <c r="O10" s="24" t="str">
        <f aca="false">IF($A10="","",IFERROR(INDEX('INVENTORY MASTER'!$Q$4:$Q$63,MATCH($A10,'INVENTORY MASTER'!$A$4:$A$63,0)),""))</f>
        <v/>
      </c>
      <c r="P10" s="24" t="str">
        <f aca="false">IF($A10="","",IFERROR(INDEX('INVENTORY MASTER'!$R$4:$R$63,MATCH($A10,'INVENTORY MASTER'!$A$4:$A$63,0)),""))</f>
        <v/>
      </c>
      <c r="Q10" s="18"/>
      <c r="R10" s="18"/>
      <c r="S10" s="18"/>
      <c r="T10" s="24" t="str">
        <f aca="false">IF($A10="","",IFERROR(INDEX('INVENTORY MASTER'!$S$4:$S$63,MATCH($A10,'INVENTORY MASTER'!$A$4:$A$63,0)),""))</f>
        <v/>
      </c>
      <c r="U10" s="21" t="str">
        <f aca="false">IF($A10="","",IFERROR(INDEX('INVENTORY MASTER'!$AI$4:$AI$63,MATCH($A10,'INVENTORY MASTER'!$A$4:$A$63,0)),""))</f>
        <v/>
      </c>
      <c r="V10" s="22" t="str">
        <f aca="false">IF(OR($A10="",E10="",E10=0),"",U10/E10)</f>
        <v/>
      </c>
      <c r="W10" s="21" t="str">
        <f aca="false">IF($A10="","",IFERROR(INDEX('INVENTORY MASTER'!$AM$4:$AM$63,MATCH($A10,'INVENTORY MASTER'!$A$4:$A$63,0)),""))</f>
        <v/>
      </c>
      <c r="X10" s="21" t="str">
        <f aca="false">IF($A10="","",IFERROR(INDEX('INVENTORY MASTER'!$AO$4:$AO$63,MATCH($A10,'INVENTORY MASTER'!$A$4:$A$63,0)),""))</f>
        <v/>
      </c>
      <c r="Y10" s="24" t="str">
        <f aca="false">IF($A10="","",IFERROR(INDEX('INVENTORY MASTER'!$AS$4:$AS$63,MATCH($A10,'INVENTORY MASTER'!$A$4:$A$63,0)),""))</f>
        <v/>
      </c>
      <c r="Z10" s="24" t="str">
        <f aca="false">IF($A10="","",IFERROR(INDEX('INVENTORY MASTER'!$AR$4:$AR$63,MATCH($A10,'INVENTORY MASTER'!$A$4:$A$63,0)),""))</f>
        <v/>
      </c>
      <c r="AA10" s="18"/>
    </row>
    <row r="11" customFormat="false" ht="15" hidden="false" customHeight="false" outlineLevel="0" collapsed="false">
      <c r="A11" s="18"/>
      <c r="B11" s="24" t="str">
        <f aca="false">IF($A11="","",IFERROR(INDEX('INVENTORY MASTER'!$F$4:$F$63,MATCH($A11,'INVENTORY MASTER'!$A$4:$A$63,0)),""))</f>
        <v/>
      </c>
      <c r="C11" s="24" t="str">
        <f aca="false">IF($A11="","",IFERROR(INDEX('INVENTORY MASTER'!$L$4:$L$63,MATCH($A11,'INVENTORY MASTER'!$A$4:$A$63,0)),""))</f>
        <v/>
      </c>
      <c r="D11" s="24" t="str">
        <f aca="false">IF($A11="","",IFERROR(INDEX('INVENTORY MASTER'!$M$4:$M$63,MATCH($A11,'INVENTORY MASTER'!$A$4:$A$63,0)),""))</f>
        <v/>
      </c>
      <c r="E11" s="25" t="str">
        <f aca="false">IF($A11="","",IFERROR(INDEX('INVENTORY MASTER'!$N$4:$N$63,MATCH($A11,'INVENTORY MASTER'!$A$4:$A$63,0)),""))</f>
        <v/>
      </c>
      <c r="F11" s="22"/>
      <c r="G11" s="22" t="str">
        <f aca="false">IF(OR($A11="",E11="",F11=""),"",E11*F11)</f>
        <v/>
      </c>
      <c r="H11" s="24" t="str">
        <f aca="false">IF($A11="","",IFERROR(INDEX('INVENTORY MASTER'!$O$4:$O$63,MATCH($A11,'INVENTORY MASTER'!$A$4:$A$63,0)),""))</f>
        <v/>
      </c>
      <c r="I11" s="25" t="str">
        <f aca="false">IF($A11="","",IFERROR(INDEX('INVENTORY MASTER'!$P$4:$P$63,MATCH($A11,'INVENTORY MASTER'!$A$4:$A$63,0)),""))</f>
        <v/>
      </c>
      <c r="J11" s="22"/>
      <c r="K11" s="26"/>
      <c r="L11" s="22" t="str">
        <f aca="false">IF(OR(G11="",K11=""),"",(G11+N(J11))*(1+K11))</f>
        <v/>
      </c>
      <c r="M11" s="26"/>
      <c r="N11" s="22" t="str">
        <f aca="false">IF(OR(G11="",M11=""),"",(G11+N(J11))*(1+M11))</f>
        <v/>
      </c>
      <c r="O11" s="24" t="str">
        <f aca="false">IF($A11="","",IFERROR(INDEX('INVENTORY MASTER'!$Q$4:$Q$63,MATCH($A11,'INVENTORY MASTER'!$A$4:$A$63,0)),""))</f>
        <v/>
      </c>
      <c r="P11" s="24" t="str">
        <f aca="false">IF($A11="","",IFERROR(INDEX('INVENTORY MASTER'!$R$4:$R$63,MATCH($A11,'INVENTORY MASTER'!$A$4:$A$63,0)),""))</f>
        <v/>
      </c>
      <c r="Q11" s="18"/>
      <c r="R11" s="18"/>
      <c r="S11" s="18"/>
      <c r="T11" s="24" t="str">
        <f aca="false">IF($A11="","",IFERROR(INDEX('INVENTORY MASTER'!$S$4:$S$63,MATCH($A11,'INVENTORY MASTER'!$A$4:$A$63,0)),""))</f>
        <v/>
      </c>
      <c r="U11" s="21" t="str">
        <f aca="false">IF($A11="","",IFERROR(INDEX('INVENTORY MASTER'!$AI$4:$AI$63,MATCH($A11,'INVENTORY MASTER'!$A$4:$A$63,0)),""))</f>
        <v/>
      </c>
      <c r="V11" s="22" t="str">
        <f aca="false">IF(OR($A11="",E11="",E11=0),"",U11/E11)</f>
        <v/>
      </c>
      <c r="W11" s="21" t="str">
        <f aca="false">IF($A11="","",IFERROR(INDEX('INVENTORY MASTER'!$AM$4:$AM$63,MATCH($A11,'INVENTORY MASTER'!$A$4:$A$63,0)),""))</f>
        <v/>
      </c>
      <c r="X11" s="21" t="str">
        <f aca="false">IF($A11="","",IFERROR(INDEX('INVENTORY MASTER'!$AO$4:$AO$63,MATCH($A11,'INVENTORY MASTER'!$A$4:$A$63,0)),""))</f>
        <v/>
      </c>
      <c r="Y11" s="24" t="str">
        <f aca="false">IF($A11="","",IFERROR(INDEX('INVENTORY MASTER'!$AS$4:$AS$63,MATCH($A11,'INVENTORY MASTER'!$A$4:$A$63,0)),""))</f>
        <v/>
      </c>
      <c r="Z11" s="24" t="str">
        <f aca="false">IF($A11="","",IFERROR(INDEX('INVENTORY MASTER'!$AR$4:$AR$63,MATCH($A11,'INVENTORY MASTER'!$A$4:$A$63,0)),""))</f>
        <v/>
      </c>
      <c r="AA11" s="18"/>
    </row>
    <row r="12" customFormat="false" ht="15" hidden="false" customHeight="false" outlineLevel="0" collapsed="false">
      <c r="A12" s="18"/>
      <c r="B12" s="24" t="str">
        <f aca="false">IF($A12="","",IFERROR(INDEX('INVENTORY MASTER'!$F$4:$F$63,MATCH($A12,'INVENTORY MASTER'!$A$4:$A$63,0)),""))</f>
        <v/>
      </c>
      <c r="C12" s="24" t="str">
        <f aca="false">IF($A12="","",IFERROR(INDEX('INVENTORY MASTER'!$L$4:$L$63,MATCH($A12,'INVENTORY MASTER'!$A$4:$A$63,0)),""))</f>
        <v/>
      </c>
      <c r="D12" s="24" t="str">
        <f aca="false">IF($A12="","",IFERROR(INDEX('INVENTORY MASTER'!$M$4:$M$63,MATCH($A12,'INVENTORY MASTER'!$A$4:$A$63,0)),""))</f>
        <v/>
      </c>
      <c r="E12" s="25" t="str">
        <f aca="false">IF($A12="","",IFERROR(INDEX('INVENTORY MASTER'!$N$4:$N$63,MATCH($A12,'INVENTORY MASTER'!$A$4:$A$63,0)),""))</f>
        <v/>
      </c>
      <c r="F12" s="22"/>
      <c r="G12" s="22" t="str">
        <f aca="false">IF(OR($A12="",E12="",F12=""),"",E12*F12)</f>
        <v/>
      </c>
      <c r="H12" s="24" t="str">
        <f aca="false">IF($A12="","",IFERROR(INDEX('INVENTORY MASTER'!$O$4:$O$63,MATCH($A12,'INVENTORY MASTER'!$A$4:$A$63,0)),""))</f>
        <v/>
      </c>
      <c r="I12" s="25" t="str">
        <f aca="false">IF($A12="","",IFERROR(INDEX('INVENTORY MASTER'!$P$4:$P$63,MATCH($A12,'INVENTORY MASTER'!$A$4:$A$63,0)),""))</f>
        <v/>
      </c>
      <c r="J12" s="22"/>
      <c r="K12" s="26"/>
      <c r="L12" s="22" t="str">
        <f aca="false">IF(OR(G12="",K12=""),"",(G12+N(J12))*(1+K12))</f>
        <v/>
      </c>
      <c r="M12" s="26"/>
      <c r="N12" s="22" t="str">
        <f aca="false">IF(OR(G12="",M12=""),"",(G12+N(J12))*(1+M12))</f>
        <v/>
      </c>
      <c r="O12" s="24" t="str">
        <f aca="false">IF($A12="","",IFERROR(INDEX('INVENTORY MASTER'!$Q$4:$Q$63,MATCH($A12,'INVENTORY MASTER'!$A$4:$A$63,0)),""))</f>
        <v/>
      </c>
      <c r="P12" s="24" t="str">
        <f aca="false">IF($A12="","",IFERROR(INDEX('INVENTORY MASTER'!$R$4:$R$63,MATCH($A12,'INVENTORY MASTER'!$A$4:$A$63,0)),""))</f>
        <v/>
      </c>
      <c r="Q12" s="18"/>
      <c r="R12" s="18"/>
      <c r="S12" s="18"/>
      <c r="T12" s="24" t="str">
        <f aca="false">IF($A12="","",IFERROR(INDEX('INVENTORY MASTER'!$S$4:$S$63,MATCH($A12,'INVENTORY MASTER'!$A$4:$A$63,0)),""))</f>
        <v/>
      </c>
      <c r="U12" s="21" t="str">
        <f aca="false">IF($A12="","",IFERROR(INDEX('INVENTORY MASTER'!$AI$4:$AI$63,MATCH($A12,'INVENTORY MASTER'!$A$4:$A$63,0)),""))</f>
        <v/>
      </c>
      <c r="V12" s="22" t="str">
        <f aca="false">IF(OR($A12="",E12="",E12=0),"",U12/E12)</f>
        <v/>
      </c>
      <c r="W12" s="21" t="str">
        <f aca="false">IF($A12="","",IFERROR(INDEX('INVENTORY MASTER'!$AM$4:$AM$63,MATCH($A12,'INVENTORY MASTER'!$A$4:$A$63,0)),""))</f>
        <v/>
      </c>
      <c r="X12" s="21" t="str">
        <f aca="false">IF($A12="","",IFERROR(INDEX('INVENTORY MASTER'!$AO$4:$AO$63,MATCH($A12,'INVENTORY MASTER'!$A$4:$A$63,0)),""))</f>
        <v/>
      </c>
      <c r="Y12" s="24" t="str">
        <f aca="false">IF($A12="","",IFERROR(INDEX('INVENTORY MASTER'!$AS$4:$AS$63,MATCH($A12,'INVENTORY MASTER'!$A$4:$A$63,0)),""))</f>
        <v/>
      </c>
      <c r="Z12" s="24" t="str">
        <f aca="false">IF($A12="","",IFERROR(INDEX('INVENTORY MASTER'!$AR$4:$AR$63,MATCH($A12,'INVENTORY MASTER'!$A$4:$A$63,0)),""))</f>
        <v/>
      </c>
      <c r="AA12" s="18"/>
    </row>
    <row r="13" customFormat="false" ht="15" hidden="false" customHeight="false" outlineLevel="0" collapsed="false">
      <c r="A13" s="18"/>
      <c r="B13" s="24" t="str">
        <f aca="false">IF($A13="","",IFERROR(INDEX('INVENTORY MASTER'!$F$4:$F$63,MATCH($A13,'INVENTORY MASTER'!$A$4:$A$63,0)),""))</f>
        <v/>
      </c>
      <c r="C13" s="24" t="str">
        <f aca="false">IF($A13="","",IFERROR(INDEX('INVENTORY MASTER'!$L$4:$L$63,MATCH($A13,'INVENTORY MASTER'!$A$4:$A$63,0)),""))</f>
        <v/>
      </c>
      <c r="D13" s="24" t="str">
        <f aca="false">IF($A13="","",IFERROR(INDEX('INVENTORY MASTER'!$M$4:$M$63,MATCH($A13,'INVENTORY MASTER'!$A$4:$A$63,0)),""))</f>
        <v/>
      </c>
      <c r="E13" s="25" t="str">
        <f aca="false">IF($A13="","",IFERROR(INDEX('INVENTORY MASTER'!$N$4:$N$63,MATCH($A13,'INVENTORY MASTER'!$A$4:$A$63,0)),""))</f>
        <v/>
      </c>
      <c r="F13" s="22"/>
      <c r="G13" s="22" t="str">
        <f aca="false">IF(OR($A13="",E13="",F13=""),"",E13*F13)</f>
        <v/>
      </c>
      <c r="H13" s="24" t="str">
        <f aca="false">IF($A13="","",IFERROR(INDEX('INVENTORY MASTER'!$O$4:$O$63,MATCH($A13,'INVENTORY MASTER'!$A$4:$A$63,0)),""))</f>
        <v/>
      </c>
      <c r="I13" s="25" t="str">
        <f aca="false">IF($A13="","",IFERROR(INDEX('INVENTORY MASTER'!$P$4:$P$63,MATCH($A13,'INVENTORY MASTER'!$A$4:$A$63,0)),""))</f>
        <v/>
      </c>
      <c r="J13" s="22"/>
      <c r="K13" s="26"/>
      <c r="L13" s="22" t="str">
        <f aca="false">IF(OR(G13="",K13=""),"",(G13+N(J13))*(1+K13))</f>
        <v/>
      </c>
      <c r="M13" s="26"/>
      <c r="N13" s="22" t="str">
        <f aca="false">IF(OR(G13="",M13=""),"",(G13+N(J13))*(1+M13))</f>
        <v/>
      </c>
      <c r="O13" s="24" t="str">
        <f aca="false">IF($A13="","",IFERROR(INDEX('INVENTORY MASTER'!$Q$4:$Q$63,MATCH($A13,'INVENTORY MASTER'!$A$4:$A$63,0)),""))</f>
        <v/>
      </c>
      <c r="P13" s="24" t="str">
        <f aca="false">IF($A13="","",IFERROR(INDEX('INVENTORY MASTER'!$R$4:$R$63,MATCH($A13,'INVENTORY MASTER'!$A$4:$A$63,0)),""))</f>
        <v/>
      </c>
      <c r="Q13" s="18"/>
      <c r="R13" s="18"/>
      <c r="S13" s="18"/>
      <c r="T13" s="24" t="str">
        <f aca="false">IF($A13="","",IFERROR(INDEX('INVENTORY MASTER'!$S$4:$S$63,MATCH($A13,'INVENTORY MASTER'!$A$4:$A$63,0)),""))</f>
        <v/>
      </c>
      <c r="U13" s="21" t="str">
        <f aca="false">IF($A13="","",IFERROR(INDEX('INVENTORY MASTER'!$AI$4:$AI$63,MATCH($A13,'INVENTORY MASTER'!$A$4:$A$63,0)),""))</f>
        <v/>
      </c>
      <c r="V13" s="22" t="str">
        <f aca="false">IF(OR($A13="",E13="",E13=0),"",U13/E13)</f>
        <v/>
      </c>
      <c r="W13" s="21" t="str">
        <f aca="false">IF($A13="","",IFERROR(INDEX('INVENTORY MASTER'!$AM$4:$AM$63,MATCH($A13,'INVENTORY MASTER'!$A$4:$A$63,0)),""))</f>
        <v/>
      </c>
      <c r="X13" s="21" t="str">
        <f aca="false">IF($A13="","",IFERROR(INDEX('INVENTORY MASTER'!$AO$4:$AO$63,MATCH($A13,'INVENTORY MASTER'!$A$4:$A$63,0)),""))</f>
        <v/>
      </c>
      <c r="Y13" s="24" t="str">
        <f aca="false">IF($A13="","",IFERROR(INDEX('INVENTORY MASTER'!$AS$4:$AS$63,MATCH($A13,'INVENTORY MASTER'!$A$4:$A$63,0)),""))</f>
        <v/>
      </c>
      <c r="Z13" s="24" t="str">
        <f aca="false">IF($A13="","",IFERROR(INDEX('INVENTORY MASTER'!$AR$4:$AR$63,MATCH($A13,'INVENTORY MASTER'!$A$4:$A$63,0)),""))</f>
        <v/>
      </c>
      <c r="AA13" s="18"/>
    </row>
    <row r="14" customFormat="false" ht="15" hidden="false" customHeight="false" outlineLevel="0" collapsed="false">
      <c r="A14" s="18"/>
      <c r="B14" s="24" t="str">
        <f aca="false">IF($A14="","",IFERROR(INDEX('INVENTORY MASTER'!$F$4:$F$63,MATCH($A14,'INVENTORY MASTER'!$A$4:$A$63,0)),""))</f>
        <v/>
      </c>
      <c r="C14" s="24" t="str">
        <f aca="false">IF($A14="","",IFERROR(INDEX('INVENTORY MASTER'!$L$4:$L$63,MATCH($A14,'INVENTORY MASTER'!$A$4:$A$63,0)),""))</f>
        <v/>
      </c>
      <c r="D14" s="24" t="str">
        <f aca="false">IF($A14="","",IFERROR(INDEX('INVENTORY MASTER'!$M$4:$M$63,MATCH($A14,'INVENTORY MASTER'!$A$4:$A$63,0)),""))</f>
        <v/>
      </c>
      <c r="E14" s="25" t="str">
        <f aca="false">IF($A14="","",IFERROR(INDEX('INVENTORY MASTER'!$N$4:$N$63,MATCH($A14,'INVENTORY MASTER'!$A$4:$A$63,0)),""))</f>
        <v/>
      </c>
      <c r="F14" s="22"/>
      <c r="G14" s="22" t="str">
        <f aca="false">IF(OR($A14="",E14="",F14=""),"",E14*F14)</f>
        <v/>
      </c>
      <c r="H14" s="24" t="str">
        <f aca="false">IF($A14="","",IFERROR(INDEX('INVENTORY MASTER'!$O$4:$O$63,MATCH($A14,'INVENTORY MASTER'!$A$4:$A$63,0)),""))</f>
        <v/>
      </c>
      <c r="I14" s="25" t="str">
        <f aca="false">IF($A14="","",IFERROR(INDEX('INVENTORY MASTER'!$P$4:$P$63,MATCH($A14,'INVENTORY MASTER'!$A$4:$A$63,0)),""))</f>
        <v/>
      </c>
      <c r="J14" s="22"/>
      <c r="K14" s="26"/>
      <c r="L14" s="22" t="str">
        <f aca="false">IF(OR(G14="",K14=""),"",(G14+N(J14))*(1+K14))</f>
        <v/>
      </c>
      <c r="M14" s="26"/>
      <c r="N14" s="22" t="str">
        <f aca="false">IF(OR(G14="",M14=""),"",(G14+N(J14))*(1+M14))</f>
        <v/>
      </c>
      <c r="O14" s="24" t="str">
        <f aca="false">IF($A14="","",IFERROR(INDEX('INVENTORY MASTER'!$Q$4:$Q$63,MATCH($A14,'INVENTORY MASTER'!$A$4:$A$63,0)),""))</f>
        <v/>
      </c>
      <c r="P14" s="24" t="str">
        <f aca="false">IF($A14="","",IFERROR(INDEX('INVENTORY MASTER'!$R$4:$R$63,MATCH($A14,'INVENTORY MASTER'!$A$4:$A$63,0)),""))</f>
        <v/>
      </c>
      <c r="Q14" s="18"/>
      <c r="R14" s="18"/>
      <c r="S14" s="18"/>
      <c r="T14" s="24" t="str">
        <f aca="false">IF($A14="","",IFERROR(INDEX('INVENTORY MASTER'!$S$4:$S$63,MATCH($A14,'INVENTORY MASTER'!$A$4:$A$63,0)),""))</f>
        <v/>
      </c>
      <c r="U14" s="21" t="str">
        <f aca="false">IF($A14="","",IFERROR(INDEX('INVENTORY MASTER'!$AI$4:$AI$63,MATCH($A14,'INVENTORY MASTER'!$A$4:$A$63,0)),""))</f>
        <v/>
      </c>
      <c r="V14" s="22" t="str">
        <f aca="false">IF(OR($A14="",E14="",E14=0),"",U14/E14)</f>
        <v/>
      </c>
      <c r="W14" s="21" t="str">
        <f aca="false">IF($A14="","",IFERROR(INDEX('INVENTORY MASTER'!$AM$4:$AM$63,MATCH($A14,'INVENTORY MASTER'!$A$4:$A$63,0)),""))</f>
        <v/>
      </c>
      <c r="X14" s="21" t="str">
        <f aca="false">IF($A14="","",IFERROR(INDEX('INVENTORY MASTER'!$AO$4:$AO$63,MATCH($A14,'INVENTORY MASTER'!$A$4:$A$63,0)),""))</f>
        <v/>
      </c>
      <c r="Y14" s="24" t="str">
        <f aca="false">IF($A14="","",IFERROR(INDEX('INVENTORY MASTER'!$AS$4:$AS$63,MATCH($A14,'INVENTORY MASTER'!$A$4:$A$63,0)),""))</f>
        <v/>
      </c>
      <c r="Z14" s="24" t="str">
        <f aca="false">IF($A14="","",IFERROR(INDEX('INVENTORY MASTER'!$AR$4:$AR$63,MATCH($A14,'INVENTORY MASTER'!$A$4:$A$63,0)),""))</f>
        <v/>
      </c>
      <c r="AA14" s="18"/>
    </row>
    <row r="15" customFormat="false" ht="15" hidden="false" customHeight="false" outlineLevel="0" collapsed="false">
      <c r="A15" s="18"/>
      <c r="B15" s="24" t="str">
        <f aca="false">IF($A15="","",IFERROR(INDEX('INVENTORY MASTER'!$F$4:$F$63,MATCH($A15,'INVENTORY MASTER'!$A$4:$A$63,0)),""))</f>
        <v/>
      </c>
      <c r="C15" s="24" t="str">
        <f aca="false">IF($A15="","",IFERROR(INDEX('INVENTORY MASTER'!$L$4:$L$63,MATCH($A15,'INVENTORY MASTER'!$A$4:$A$63,0)),""))</f>
        <v/>
      </c>
      <c r="D15" s="24" t="str">
        <f aca="false">IF($A15="","",IFERROR(INDEX('INVENTORY MASTER'!$M$4:$M$63,MATCH($A15,'INVENTORY MASTER'!$A$4:$A$63,0)),""))</f>
        <v/>
      </c>
      <c r="E15" s="25" t="str">
        <f aca="false">IF($A15="","",IFERROR(INDEX('INVENTORY MASTER'!$N$4:$N$63,MATCH($A15,'INVENTORY MASTER'!$A$4:$A$63,0)),""))</f>
        <v/>
      </c>
      <c r="F15" s="22"/>
      <c r="G15" s="22" t="str">
        <f aca="false">IF(OR($A15="",E15="",F15=""),"",E15*F15)</f>
        <v/>
      </c>
      <c r="H15" s="24" t="str">
        <f aca="false">IF($A15="","",IFERROR(INDEX('INVENTORY MASTER'!$O$4:$O$63,MATCH($A15,'INVENTORY MASTER'!$A$4:$A$63,0)),""))</f>
        <v/>
      </c>
      <c r="I15" s="25" t="str">
        <f aca="false">IF($A15="","",IFERROR(INDEX('INVENTORY MASTER'!$P$4:$P$63,MATCH($A15,'INVENTORY MASTER'!$A$4:$A$63,0)),""))</f>
        <v/>
      </c>
      <c r="J15" s="22"/>
      <c r="K15" s="26"/>
      <c r="L15" s="22" t="str">
        <f aca="false">IF(OR(G15="",K15=""),"",(G15+N(J15))*(1+K15))</f>
        <v/>
      </c>
      <c r="M15" s="26"/>
      <c r="N15" s="22" t="str">
        <f aca="false">IF(OR(G15="",M15=""),"",(G15+N(J15))*(1+M15))</f>
        <v/>
      </c>
      <c r="O15" s="24" t="str">
        <f aca="false">IF($A15="","",IFERROR(INDEX('INVENTORY MASTER'!$Q$4:$Q$63,MATCH($A15,'INVENTORY MASTER'!$A$4:$A$63,0)),""))</f>
        <v/>
      </c>
      <c r="P15" s="24" t="str">
        <f aca="false">IF($A15="","",IFERROR(INDEX('INVENTORY MASTER'!$R$4:$R$63,MATCH($A15,'INVENTORY MASTER'!$A$4:$A$63,0)),""))</f>
        <v/>
      </c>
      <c r="Q15" s="18"/>
      <c r="R15" s="18"/>
      <c r="S15" s="18"/>
      <c r="T15" s="24" t="str">
        <f aca="false">IF($A15="","",IFERROR(INDEX('INVENTORY MASTER'!$S$4:$S$63,MATCH($A15,'INVENTORY MASTER'!$A$4:$A$63,0)),""))</f>
        <v/>
      </c>
      <c r="U15" s="21" t="str">
        <f aca="false">IF($A15="","",IFERROR(INDEX('INVENTORY MASTER'!$AI$4:$AI$63,MATCH($A15,'INVENTORY MASTER'!$A$4:$A$63,0)),""))</f>
        <v/>
      </c>
      <c r="V15" s="22" t="str">
        <f aca="false">IF(OR($A15="",E15="",E15=0),"",U15/E15)</f>
        <v/>
      </c>
      <c r="W15" s="21" t="str">
        <f aca="false">IF($A15="","",IFERROR(INDEX('INVENTORY MASTER'!$AM$4:$AM$63,MATCH($A15,'INVENTORY MASTER'!$A$4:$A$63,0)),""))</f>
        <v/>
      </c>
      <c r="X15" s="21" t="str">
        <f aca="false">IF($A15="","",IFERROR(INDEX('INVENTORY MASTER'!$AO$4:$AO$63,MATCH($A15,'INVENTORY MASTER'!$A$4:$A$63,0)),""))</f>
        <v/>
      </c>
      <c r="Y15" s="24" t="str">
        <f aca="false">IF($A15="","",IFERROR(INDEX('INVENTORY MASTER'!$AS$4:$AS$63,MATCH($A15,'INVENTORY MASTER'!$A$4:$A$63,0)),""))</f>
        <v/>
      </c>
      <c r="Z15" s="24" t="str">
        <f aca="false">IF($A15="","",IFERROR(INDEX('INVENTORY MASTER'!$AR$4:$AR$63,MATCH($A15,'INVENTORY MASTER'!$A$4:$A$63,0)),""))</f>
        <v/>
      </c>
      <c r="AA15" s="18"/>
    </row>
    <row r="16" customFormat="false" ht="15" hidden="false" customHeight="false" outlineLevel="0" collapsed="false">
      <c r="A16" s="18"/>
      <c r="B16" s="24" t="str">
        <f aca="false">IF($A16="","",IFERROR(INDEX('INVENTORY MASTER'!$F$4:$F$63,MATCH($A16,'INVENTORY MASTER'!$A$4:$A$63,0)),""))</f>
        <v/>
      </c>
      <c r="C16" s="24" t="str">
        <f aca="false">IF($A16="","",IFERROR(INDEX('INVENTORY MASTER'!$L$4:$L$63,MATCH($A16,'INVENTORY MASTER'!$A$4:$A$63,0)),""))</f>
        <v/>
      </c>
      <c r="D16" s="24" t="str">
        <f aca="false">IF($A16="","",IFERROR(INDEX('INVENTORY MASTER'!$M$4:$M$63,MATCH($A16,'INVENTORY MASTER'!$A$4:$A$63,0)),""))</f>
        <v/>
      </c>
      <c r="E16" s="25" t="str">
        <f aca="false">IF($A16="","",IFERROR(INDEX('INVENTORY MASTER'!$N$4:$N$63,MATCH($A16,'INVENTORY MASTER'!$A$4:$A$63,0)),""))</f>
        <v/>
      </c>
      <c r="F16" s="22"/>
      <c r="G16" s="22" t="str">
        <f aca="false">IF(OR($A16="",E16="",F16=""),"",E16*F16)</f>
        <v/>
      </c>
      <c r="H16" s="24" t="str">
        <f aca="false">IF($A16="","",IFERROR(INDEX('INVENTORY MASTER'!$O$4:$O$63,MATCH($A16,'INVENTORY MASTER'!$A$4:$A$63,0)),""))</f>
        <v/>
      </c>
      <c r="I16" s="25" t="str">
        <f aca="false">IF($A16="","",IFERROR(INDEX('INVENTORY MASTER'!$P$4:$P$63,MATCH($A16,'INVENTORY MASTER'!$A$4:$A$63,0)),""))</f>
        <v/>
      </c>
      <c r="J16" s="22"/>
      <c r="K16" s="26"/>
      <c r="L16" s="22" t="str">
        <f aca="false">IF(OR(G16="",K16=""),"",(G16+N(J16))*(1+K16))</f>
        <v/>
      </c>
      <c r="M16" s="26"/>
      <c r="N16" s="22" t="str">
        <f aca="false">IF(OR(G16="",M16=""),"",(G16+N(J16))*(1+M16))</f>
        <v/>
      </c>
      <c r="O16" s="24" t="str">
        <f aca="false">IF($A16="","",IFERROR(INDEX('INVENTORY MASTER'!$Q$4:$Q$63,MATCH($A16,'INVENTORY MASTER'!$A$4:$A$63,0)),""))</f>
        <v/>
      </c>
      <c r="P16" s="24" t="str">
        <f aca="false">IF($A16="","",IFERROR(INDEX('INVENTORY MASTER'!$R$4:$R$63,MATCH($A16,'INVENTORY MASTER'!$A$4:$A$63,0)),""))</f>
        <v/>
      </c>
      <c r="Q16" s="18"/>
      <c r="R16" s="18"/>
      <c r="S16" s="18"/>
      <c r="T16" s="24" t="str">
        <f aca="false">IF($A16="","",IFERROR(INDEX('INVENTORY MASTER'!$S$4:$S$63,MATCH($A16,'INVENTORY MASTER'!$A$4:$A$63,0)),""))</f>
        <v/>
      </c>
      <c r="U16" s="21" t="str">
        <f aca="false">IF($A16="","",IFERROR(INDEX('INVENTORY MASTER'!$AI$4:$AI$63,MATCH($A16,'INVENTORY MASTER'!$A$4:$A$63,0)),""))</f>
        <v/>
      </c>
      <c r="V16" s="22" t="str">
        <f aca="false">IF(OR($A16="",E16="",E16=0),"",U16/E16)</f>
        <v/>
      </c>
      <c r="W16" s="21" t="str">
        <f aca="false">IF($A16="","",IFERROR(INDEX('INVENTORY MASTER'!$AM$4:$AM$63,MATCH($A16,'INVENTORY MASTER'!$A$4:$A$63,0)),""))</f>
        <v/>
      </c>
      <c r="X16" s="21" t="str">
        <f aca="false">IF($A16="","",IFERROR(INDEX('INVENTORY MASTER'!$AO$4:$AO$63,MATCH($A16,'INVENTORY MASTER'!$A$4:$A$63,0)),""))</f>
        <v/>
      </c>
      <c r="Y16" s="24" t="str">
        <f aca="false">IF($A16="","",IFERROR(INDEX('INVENTORY MASTER'!$AS$4:$AS$63,MATCH($A16,'INVENTORY MASTER'!$A$4:$A$63,0)),""))</f>
        <v/>
      </c>
      <c r="Z16" s="24" t="str">
        <f aca="false">IF($A16="","",IFERROR(INDEX('INVENTORY MASTER'!$AR$4:$AR$63,MATCH($A16,'INVENTORY MASTER'!$A$4:$A$63,0)),""))</f>
        <v/>
      </c>
      <c r="AA16" s="18"/>
    </row>
    <row r="17" customFormat="false" ht="15" hidden="false" customHeight="false" outlineLevel="0" collapsed="false">
      <c r="A17" s="18"/>
      <c r="B17" s="24" t="str">
        <f aca="false">IF($A17="","",IFERROR(INDEX('INVENTORY MASTER'!$F$4:$F$63,MATCH($A17,'INVENTORY MASTER'!$A$4:$A$63,0)),""))</f>
        <v/>
      </c>
      <c r="C17" s="24" t="str">
        <f aca="false">IF($A17="","",IFERROR(INDEX('INVENTORY MASTER'!$L$4:$L$63,MATCH($A17,'INVENTORY MASTER'!$A$4:$A$63,0)),""))</f>
        <v/>
      </c>
      <c r="D17" s="24" t="str">
        <f aca="false">IF($A17="","",IFERROR(INDEX('INVENTORY MASTER'!$M$4:$M$63,MATCH($A17,'INVENTORY MASTER'!$A$4:$A$63,0)),""))</f>
        <v/>
      </c>
      <c r="E17" s="25" t="str">
        <f aca="false">IF($A17="","",IFERROR(INDEX('INVENTORY MASTER'!$N$4:$N$63,MATCH($A17,'INVENTORY MASTER'!$A$4:$A$63,0)),""))</f>
        <v/>
      </c>
      <c r="F17" s="22"/>
      <c r="G17" s="22" t="str">
        <f aca="false">IF(OR($A17="",E17="",F17=""),"",E17*F17)</f>
        <v/>
      </c>
      <c r="H17" s="24" t="str">
        <f aca="false">IF($A17="","",IFERROR(INDEX('INVENTORY MASTER'!$O$4:$O$63,MATCH($A17,'INVENTORY MASTER'!$A$4:$A$63,0)),""))</f>
        <v/>
      </c>
      <c r="I17" s="25" t="str">
        <f aca="false">IF($A17="","",IFERROR(INDEX('INVENTORY MASTER'!$P$4:$P$63,MATCH($A17,'INVENTORY MASTER'!$A$4:$A$63,0)),""))</f>
        <v/>
      </c>
      <c r="J17" s="22"/>
      <c r="K17" s="26"/>
      <c r="L17" s="22" t="str">
        <f aca="false">IF(OR(G17="",K17=""),"",(G17+N(J17))*(1+K17))</f>
        <v/>
      </c>
      <c r="M17" s="26"/>
      <c r="N17" s="22" t="str">
        <f aca="false">IF(OR(G17="",M17=""),"",(G17+N(J17))*(1+M17))</f>
        <v/>
      </c>
      <c r="O17" s="24" t="str">
        <f aca="false">IF($A17="","",IFERROR(INDEX('INVENTORY MASTER'!$Q$4:$Q$63,MATCH($A17,'INVENTORY MASTER'!$A$4:$A$63,0)),""))</f>
        <v/>
      </c>
      <c r="P17" s="24" t="str">
        <f aca="false">IF($A17="","",IFERROR(INDEX('INVENTORY MASTER'!$R$4:$R$63,MATCH($A17,'INVENTORY MASTER'!$A$4:$A$63,0)),""))</f>
        <v/>
      </c>
      <c r="Q17" s="18"/>
      <c r="R17" s="18"/>
      <c r="S17" s="18"/>
      <c r="T17" s="24" t="str">
        <f aca="false">IF($A17="","",IFERROR(INDEX('INVENTORY MASTER'!$S$4:$S$63,MATCH($A17,'INVENTORY MASTER'!$A$4:$A$63,0)),""))</f>
        <v/>
      </c>
      <c r="U17" s="21" t="str">
        <f aca="false">IF($A17="","",IFERROR(INDEX('INVENTORY MASTER'!$AI$4:$AI$63,MATCH($A17,'INVENTORY MASTER'!$A$4:$A$63,0)),""))</f>
        <v/>
      </c>
      <c r="V17" s="22" t="str">
        <f aca="false">IF(OR($A17="",E17="",E17=0),"",U17/E17)</f>
        <v/>
      </c>
      <c r="W17" s="21" t="str">
        <f aca="false">IF($A17="","",IFERROR(INDEX('INVENTORY MASTER'!$AM$4:$AM$63,MATCH($A17,'INVENTORY MASTER'!$A$4:$A$63,0)),""))</f>
        <v/>
      </c>
      <c r="X17" s="21" t="str">
        <f aca="false">IF($A17="","",IFERROR(INDEX('INVENTORY MASTER'!$AO$4:$AO$63,MATCH($A17,'INVENTORY MASTER'!$A$4:$A$63,0)),""))</f>
        <v/>
      </c>
      <c r="Y17" s="24" t="str">
        <f aca="false">IF($A17="","",IFERROR(INDEX('INVENTORY MASTER'!$AS$4:$AS$63,MATCH($A17,'INVENTORY MASTER'!$A$4:$A$63,0)),""))</f>
        <v/>
      </c>
      <c r="Z17" s="24" t="str">
        <f aca="false">IF($A17="","",IFERROR(INDEX('INVENTORY MASTER'!$AR$4:$AR$63,MATCH($A17,'INVENTORY MASTER'!$A$4:$A$63,0)),""))</f>
        <v/>
      </c>
      <c r="AA17" s="18"/>
    </row>
    <row r="18" customFormat="false" ht="15" hidden="false" customHeight="false" outlineLevel="0" collapsed="false">
      <c r="A18" s="18"/>
      <c r="B18" s="24" t="str">
        <f aca="false">IF($A18="","",IFERROR(INDEX('INVENTORY MASTER'!$F$4:$F$63,MATCH($A18,'INVENTORY MASTER'!$A$4:$A$63,0)),""))</f>
        <v/>
      </c>
      <c r="C18" s="24" t="str">
        <f aca="false">IF($A18="","",IFERROR(INDEX('INVENTORY MASTER'!$L$4:$L$63,MATCH($A18,'INVENTORY MASTER'!$A$4:$A$63,0)),""))</f>
        <v/>
      </c>
      <c r="D18" s="24" t="str">
        <f aca="false">IF($A18="","",IFERROR(INDEX('INVENTORY MASTER'!$M$4:$M$63,MATCH($A18,'INVENTORY MASTER'!$A$4:$A$63,0)),""))</f>
        <v/>
      </c>
      <c r="E18" s="25" t="str">
        <f aca="false">IF($A18="","",IFERROR(INDEX('INVENTORY MASTER'!$N$4:$N$63,MATCH($A18,'INVENTORY MASTER'!$A$4:$A$63,0)),""))</f>
        <v/>
      </c>
      <c r="F18" s="22"/>
      <c r="G18" s="22" t="str">
        <f aca="false">IF(OR($A18="",E18="",F18=""),"",E18*F18)</f>
        <v/>
      </c>
      <c r="H18" s="24" t="str">
        <f aca="false">IF($A18="","",IFERROR(INDEX('INVENTORY MASTER'!$O$4:$O$63,MATCH($A18,'INVENTORY MASTER'!$A$4:$A$63,0)),""))</f>
        <v/>
      </c>
      <c r="I18" s="25" t="str">
        <f aca="false">IF($A18="","",IFERROR(INDEX('INVENTORY MASTER'!$P$4:$P$63,MATCH($A18,'INVENTORY MASTER'!$A$4:$A$63,0)),""))</f>
        <v/>
      </c>
      <c r="J18" s="22"/>
      <c r="K18" s="26"/>
      <c r="L18" s="22" t="str">
        <f aca="false">IF(OR(G18="",K18=""),"",(G18+N(J18))*(1+K18))</f>
        <v/>
      </c>
      <c r="M18" s="26"/>
      <c r="N18" s="22" t="str">
        <f aca="false">IF(OR(G18="",M18=""),"",(G18+N(J18))*(1+M18))</f>
        <v/>
      </c>
      <c r="O18" s="24" t="str">
        <f aca="false">IF($A18="","",IFERROR(INDEX('INVENTORY MASTER'!$Q$4:$Q$63,MATCH($A18,'INVENTORY MASTER'!$A$4:$A$63,0)),""))</f>
        <v/>
      </c>
      <c r="P18" s="24" t="str">
        <f aca="false">IF($A18="","",IFERROR(INDEX('INVENTORY MASTER'!$R$4:$R$63,MATCH($A18,'INVENTORY MASTER'!$A$4:$A$63,0)),""))</f>
        <v/>
      </c>
      <c r="Q18" s="18"/>
      <c r="R18" s="18"/>
      <c r="S18" s="18"/>
      <c r="T18" s="24" t="str">
        <f aca="false">IF($A18="","",IFERROR(INDEX('INVENTORY MASTER'!$S$4:$S$63,MATCH($A18,'INVENTORY MASTER'!$A$4:$A$63,0)),""))</f>
        <v/>
      </c>
      <c r="U18" s="21" t="str">
        <f aca="false">IF($A18="","",IFERROR(INDEX('INVENTORY MASTER'!$AI$4:$AI$63,MATCH($A18,'INVENTORY MASTER'!$A$4:$A$63,0)),""))</f>
        <v/>
      </c>
      <c r="V18" s="22" t="str">
        <f aca="false">IF(OR($A18="",E18="",E18=0),"",U18/E18)</f>
        <v/>
      </c>
      <c r="W18" s="21" t="str">
        <f aca="false">IF($A18="","",IFERROR(INDEX('INVENTORY MASTER'!$AM$4:$AM$63,MATCH($A18,'INVENTORY MASTER'!$A$4:$A$63,0)),""))</f>
        <v/>
      </c>
      <c r="X18" s="21" t="str">
        <f aca="false">IF($A18="","",IFERROR(INDEX('INVENTORY MASTER'!$AO$4:$AO$63,MATCH($A18,'INVENTORY MASTER'!$A$4:$A$63,0)),""))</f>
        <v/>
      </c>
      <c r="Y18" s="24" t="str">
        <f aca="false">IF($A18="","",IFERROR(INDEX('INVENTORY MASTER'!$AS$4:$AS$63,MATCH($A18,'INVENTORY MASTER'!$A$4:$A$63,0)),""))</f>
        <v/>
      </c>
      <c r="Z18" s="24" t="str">
        <f aca="false">IF($A18="","",IFERROR(INDEX('INVENTORY MASTER'!$AR$4:$AR$63,MATCH($A18,'INVENTORY MASTER'!$A$4:$A$63,0)),""))</f>
        <v/>
      </c>
      <c r="AA18" s="18"/>
    </row>
    <row r="19" customFormat="false" ht="15" hidden="false" customHeight="false" outlineLevel="0" collapsed="false">
      <c r="A19" s="18"/>
      <c r="B19" s="24" t="str">
        <f aca="false">IF($A19="","",IFERROR(INDEX('INVENTORY MASTER'!$F$4:$F$63,MATCH($A19,'INVENTORY MASTER'!$A$4:$A$63,0)),""))</f>
        <v/>
      </c>
      <c r="C19" s="24" t="str">
        <f aca="false">IF($A19="","",IFERROR(INDEX('INVENTORY MASTER'!$L$4:$L$63,MATCH($A19,'INVENTORY MASTER'!$A$4:$A$63,0)),""))</f>
        <v/>
      </c>
      <c r="D19" s="24" t="str">
        <f aca="false">IF($A19="","",IFERROR(INDEX('INVENTORY MASTER'!$M$4:$M$63,MATCH($A19,'INVENTORY MASTER'!$A$4:$A$63,0)),""))</f>
        <v/>
      </c>
      <c r="E19" s="25" t="str">
        <f aca="false">IF($A19="","",IFERROR(INDEX('INVENTORY MASTER'!$N$4:$N$63,MATCH($A19,'INVENTORY MASTER'!$A$4:$A$63,0)),""))</f>
        <v/>
      </c>
      <c r="F19" s="22"/>
      <c r="G19" s="22" t="str">
        <f aca="false">IF(OR($A19="",E19="",F19=""),"",E19*F19)</f>
        <v/>
      </c>
      <c r="H19" s="24" t="str">
        <f aca="false">IF($A19="","",IFERROR(INDEX('INVENTORY MASTER'!$O$4:$O$63,MATCH($A19,'INVENTORY MASTER'!$A$4:$A$63,0)),""))</f>
        <v/>
      </c>
      <c r="I19" s="25" t="str">
        <f aca="false">IF($A19="","",IFERROR(INDEX('INVENTORY MASTER'!$P$4:$P$63,MATCH($A19,'INVENTORY MASTER'!$A$4:$A$63,0)),""))</f>
        <v/>
      </c>
      <c r="J19" s="22"/>
      <c r="K19" s="26"/>
      <c r="L19" s="22" t="str">
        <f aca="false">IF(OR(G19="",K19=""),"",(G19+N(J19))*(1+K19))</f>
        <v/>
      </c>
      <c r="M19" s="26"/>
      <c r="N19" s="22" t="str">
        <f aca="false">IF(OR(G19="",M19=""),"",(G19+N(J19))*(1+M19))</f>
        <v/>
      </c>
      <c r="O19" s="24" t="str">
        <f aca="false">IF($A19="","",IFERROR(INDEX('INVENTORY MASTER'!$Q$4:$Q$63,MATCH($A19,'INVENTORY MASTER'!$A$4:$A$63,0)),""))</f>
        <v/>
      </c>
      <c r="P19" s="24" t="str">
        <f aca="false">IF($A19="","",IFERROR(INDEX('INVENTORY MASTER'!$R$4:$R$63,MATCH($A19,'INVENTORY MASTER'!$A$4:$A$63,0)),""))</f>
        <v/>
      </c>
      <c r="Q19" s="18"/>
      <c r="R19" s="18"/>
      <c r="S19" s="18"/>
      <c r="T19" s="24" t="str">
        <f aca="false">IF($A19="","",IFERROR(INDEX('INVENTORY MASTER'!$S$4:$S$63,MATCH($A19,'INVENTORY MASTER'!$A$4:$A$63,0)),""))</f>
        <v/>
      </c>
      <c r="U19" s="21" t="str">
        <f aca="false">IF($A19="","",IFERROR(INDEX('INVENTORY MASTER'!$AI$4:$AI$63,MATCH($A19,'INVENTORY MASTER'!$A$4:$A$63,0)),""))</f>
        <v/>
      </c>
      <c r="V19" s="22" t="str">
        <f aca="false">IF(OR($A19="",E19="",E19=0),"",U19/E19)</f>
        <v/>
      </c>
      <c r="W19" s="21" t="str">
        <f aca="false">IF($A19="","",IFERROR(INDEX('INVENTORY MASTER'!$AM$4:$AM$63,MATCH($A19,'INVENTORY MASTER'!$A$4:$A$63,0)),""))</f>
        <v/>
      </c>
      <c r="X19" s="21" t="str">
        <f aca="false">IF($A19="","",IFERROR(INDEX('INVENTORY MASTER'!$AO$4:$AO$63,MATCH($A19,'INVENTORY MASTER'!$A$4:$A$63,0)),""))</f>
        <v/>
      </c>
      <c r="Y19" s="24" t="str">
        <f aca="false">IF($A19="","",IFERROR(INDEX('INVENTORY MASTER'!$AS$4:$AS$63,MATCH($A19,'INVENTORY MASTER'!$A$4:$A$63,0)),""))</f>
        <v/>
      </c>
      <c r="Z19" s="24" t="str">
        <f aca="false">IF($A19="","",IFERROR(INDEX('INVENTORY MASTER'!$AR$4:$AR$63,MATCH($A19,'INVENTORY MASTER'!$A$4:$A$63,0)),""))</f>
        <v/>
      </c>
      <c r="AA19" s="18"/>
    </row>
    <row r="20" customFormat="false" ht="15" hidden="false" customHeight="false" outlineLevel="0" collapsed="false">
      <c r="A20" s="18"/>
      <c r="B20" s="24" t="str">
        <f aca="false">IF($A20="","",IFERROR(INDEX('INVENTORY MASTER'!$F$4:$F$63,MATCH($A20,'INVENTORY MASTER'!$A$4:$A$63,0)),""))</f>
        <v/>
      </c>
      <c r="C20" s="24" t="str">
        <f aca="false">IF($A20="","",IFERROR(INDEX('INVENTORY MASTER'!$L$4:$L$63,MATCH($A20,'INVENTORY MASTER'!$A$4:$A$63,0)),""))</f>
        <v/>
      </c>
      <c r="D20" s="24" t="str">
        <f aca="false">IF($A20="","",IFERROR(INDEX('INVENTORY MASTER'!$M$4:$M$63,MATCH($A20,'INVENTORY MASTER'!$A$4:$A$63,0)),""))</f>
        <v/>
      </c>
      <c r="E20" s="25" t="str">
        <f aca="false">IF($A20="","",IFERROR(INDEX('INVENTORY MASTER'!$N$4:$N$63,MATCH($A20,'INVENTORY MASTER'!$A$4:$A$63,0)),""))</f>
        <v/>
      </c>
      <c r="F20" s="22"/>
      <c r="G20" s="22" t="str">
        <f aca="false">IF(OR($A20="",E20="",F20=""),"",E20*F20)</f>
        <v/>
      </c>
      <c r="H20" s="24" t="str">
        <f aca="false">IF($A20="","",IFERROR(INDEX('INVENTORY MASTER'!$O$4:$O$63,MATCH($A20,'INVENTORY MASTER'!$A$4:$A$63,0)),""))</f>
        <v/>
      </c>
      <c r="I20" s="25" t="str">
        <f aca="false">IF($A20="","",IFERROR(INDEX('INVENTORY MASTER'!$P$4:$P$63,MATCH($A20,'INVENTORY MASTER'!$A$4:$A$63,0)),""))</f>
        <v/>
      </c>
      <c r="J20" s="22"/>
      <c r="K20" s="26"/>
      <c r="L20" s="22" t="str">
        <f aca="false">IF(OR(G20="",K20=""),"",(G20+N(J20))*(1+K20))</f>
        <v/>
      </c>
      <c r="M20" s="26"/>
      <c r="N20" s="22" t="str">
        <f aca="false">IF(OR(G20="",M20=""),"",(G20+N(J20))*(1+M20))</f>
        <v/>
      </c>
      <c r="O20" s="24" t="str">
        <f aca="false">IF($A20="","",IFERROR(INDEX('INVENTORY MASTER'!$Q$4:$Q$63,MATCH($A20,'INVENTORY MASTER'!$A$4:$A$63,0)),""))</f>
        <v/>
      </c>
      <c r="P20" s="24" t="str">
        <f aca="false">IF($A20="","",IFERROR(INDEX('INVENTORY MASTER'!$R$4:$R$63,MATCH($A20,'INVENTORY MASTER'!$A$4:$A$63,0)),""))</f>
        <v/>
      </c>
      <c r="Q20" s="18"/>
      <c r="R20" s="18"/>
      <c r="S20" s="18"/>
      <c r="T20" s="24" t="str">
        <f aca="false">IF($A20="","",IFERROR(INDEX('INVENTORY MASTER'!$S$4:$S$63,MATCH($A20,'INVENTORY MASTER'!$A$4:$A$63,0)),""))</f>
        <v/>
      </c>
      <c r="U20" s="21" t="str">
        <f aca="false">IF($A20="","",IFERROR(INDEX('INVENTORY MASTER'!$AI$4:$AI$63,MATCH($A20,'INVENTORY MASTER'!$A$4:$A$63,0)),""))</f>
        <v/>
      </c>
      <c r="V20" s="22" t="str">
        <f aca="false">IF(OR($A20="",E20="",E20=0),"",U20/E20)</f>
        <v/>
      </c>
      <c r="W20" s="21" t="str">
        <f aca="false">IF($A20="","",IFERROR(INDEX('INVENTORY MASTER'!$AM$4:$AM$63,MATCH($A20,'INVENTORY MASTER'!$A$4:$A$63,0)),""))</f>
        <v/>
      </c>
      <c r="X20" s="21" t="str">
        <f aca="false">IF($A20="","",IFERROR(INDEX('INVENTORY MASTER'!$AO$4:$AO$63,MATCH($A20,'INVENTORY MASTER'!$A$4:$A$63,0)),""))</f>
        <v/>
      </c>
      <c r="Y20" s="24" t="str">
        <f aca="false">IF($A20="","",IFERROR(INDEX('INVENTORY MASTER'!$AS$4:$AS$63,MATCH($A20,'INVENTORY MASTER'!$A$4:$A$63,0)),""))</f>
        <v/>
      </c>
      <c r="Z20" s="24" t="str">
        <f aca="false">IF($A20="","",IFERROR(INDEX('INVENTORY MASTER'!$AR$4:$AR$63,MATCH($A20,'INVENTORY MASTER'!$A$4:$A$63,0)),""))</f>
        <v/>
      </c>
      <c r="AA20" s="18"/>
    </row>
    <row r="21" customFormat="false" ht="15" hidden="false" customHeight="false" outlineLevel="0" collapsed="false">
      <c r="A21" s="18"/>
      <c r="B21" s="24" t="str">
        <f aca="false">IF($A21="","",IFERROR(INDEX('INVENTORY MASTER'!$F$4:$F$63,MATCH($A21,'INVENTORY MASTER'!$A$4:$A$63,0)),""))</f>
        <v/>
      </c>
      <c r="C21" s="24" t="str">
        <f aca="false">IF($A21="","",IFERROR(INDEX('INVENTORY MASTER'!$L$4:$L$63,MATCH($A21,'INVENTORY MASTER'!$A$4:$A$63,0)),""))</f>
        <v/>
      </c>
      <c r="D21" s="24" t="str">
        <f aca="false">IF($A21="","",IFERROR(INDEX('INVENTORY MASTER'!$M$4:$M$63,MATCH($A21,'INVENTORY MASTER'!$A$4:$A$63,0)),""))</f>
        <v/>
      </c>
      <c r="E21" s="25" t="str">
        <f aca="false">IF($A21="","",IFERROR(INDEX('INVENTORY MASTER'!$N$4:$N$63,MATCH($A21,'INVENTORY MASTER'!$A$4:$A$63,0)),""))</f>
        <v/>
      </c>
      <c r="F21" s="22"/>
      <c r="G21" s="22" t="str">
        <f aca="false">IF(OR($A21="",E21="",F21=""),"",E21*F21)</f>
        <v/>
      </c>
      <c r="H21" s="24" t="str">
        <f aca="false">IF($A21="","",IFERROR(INDEX('INVENTORY MASTER'!$O$4:$O$63,MATCH($A21,'INVENTORY MASTER'!$A$4:$A$63,0)),""))</f>
        <v/>
      </c>
      <c r="I21" s="25" t="str">
        <f aca="false">IF($A21="","",IFERROR(INDEX('INVENTORY MASTER'!$P$4:$P$63,MATCH($A21,'INVENTORY MASTER'!$A$4:$A$63,0)),""))</f>
        <v/>
      </c>
      <c r="J21" s="22"/>
      <c r="K21" s="26"/>
      <c r="L21" s="22" t="str">
        <f aca="false">IF(OR(G21="",K21=""),"",(G21+N(J21))*(1+K21))</f>
        <v/>
      </c>
      <c r="M21" s="26"/>
      <c r="N21" s="22" t="str">
        <f aca="false">IF(OR(G21="",M21=""),"",(G21+N(J21))*(1+M21))</f>
        <v/>
      </c>
      <c r="O21" s="24" t="str">
        <f aca="false">IF($A21="","",IFERROR(INDEX('INVENTORY MASTER'!$Q$4:$Q$63,MATCH($A21,'INVENTORY MASTER'!$A$4:$A$63,0)),""))</f>
        <v/>
      </c>
      <c r="P21" s="24" t="str">
        <f aca="false">IF($A21="","",IFERROR(INDEX('INVENTORY MASTER'!$R$4:$R$63,MATCH($A21,'INVENTORY MASTER'!$A$4:$A$63,0)),""))</f>
        <v/>
      </c>
      <c r="Q21" s="18"/>
      <c r="R21" s="18"/>
      <c r="S21" s="18"/>
      <c r="T21" s="24" t="str">
        <f aca="false">IF($A21="","",IFERROR(INDEX('INVENTORY MASTER'!$S$4:$S$63,MATCH($A21,'INVENTORY MASTER'!$A$4:$A$63,0)),""))</f>
        <v/>
      </c>
      <c r="U21" s="21" t="str">
        <f aca="false">IF($A21="","",IFERROR(INDEX('INVENTORY MASTER'!$AI$4:$AI$63,MATCH($A21,'INVENTORY MASTER'!$A$4:$A$63,0)),""))</f>
        <v/>
      </c>
      <c r="V21" s="22" t="str">
        <f aca="false">IF(OR($A21="",E21="",E21=0),"",U21/E21)</f>
        <v/>
      </c>
      <c r="W21" s="21" t="str">
        <f aca="false">IF($A21="","",IFERROR(INDEX('INVENTORY MASTER'!$AM$4:$AM$63,MATCH($A21,'INVENTORY MASTER'!$A$4:$A$63,0)),""))</f>
        <v/>
      </c>
      <c r="X21" s="21" t="str">
        <f aca="false">IF($A21="","",IFERROR(INDEX('INVENTORY MASTER'!$AO$4:$AO$63,MATCH($A21,'INVENTORY MASTER'!$A$4:$A$63,0)),""))</f>
        <v/>
      </c>
      <c r="Y21" s="24" t="str">
        <f aca="false">IF($A21="","",IFERROR(INDEX('INVENTORY MASTER'!$AS$4:$AS$63,MATCH($A21,'INVENTORY MASTER'!$A$4:$A$63,0)),""))</f>
        <v/>
      </c>
      <c r="Z21" s="24" t="str">
        <f aca="false">IF($A21="","",IFERROR(INDEX('INVENTORY MASTER'!$AR$4:$AR$63,MATCH($A21,'INVENTORY MASTER'!$A$4:$A$63,0)),""))</f>
        <v/>
      </c>
      <c r="AA21" s="18"/>
    </row>
    <row r="22" customFormat="false" ht="15" hidden="false" customHeight="false" outlineLevel="0" collapsed="false">
      <c r="A22" s="18"/>
      <c r="B22" s="24" t="str">
        <f aca="false">IF($A22="","",IFERROR(INDEX('INVENTORY MASTER'!$F$4:$F$63,MATCH($A22,'INVENTORY MASTER'!$A$4:$A$63,0)),""))</f>
        <v/>
      </c>
      <c r="C22" s="24" t="str">
        <f aca="false">IF($A22="","",IFERROR(INDEX('INVENTORY MASTER'!$L$4:$L$63,MATCH($A22,'INVENTORY MASTER'!$A$4:$A$63,0)),""))</f>
        <v/>
      </c>
      <c r="D22" s="24" t="str">
        <f aca="false">IF($A22="","",IFERROR(INDEX('INVENTORY MASTER'!$M$4:$M$63,MATCH($A22,'INVENTORY MASTER'!$A$4:$A$63,0)),""))</f>
        <v/>
      </c>
      <c r="E22" s="25" t="str">
        <f aca="false">IF($A22="","",IFERROR(INDEX('INVENTORY MASTER'!$N$4:$N$63,MATCH($A22,'INVENTORY MASTER'!$A$4:$A$63,0)),""))</f>
        <v/>
      </c>
      <c r="F22" s="22"/>
      <c r="G22" s="22" t="str">
        <f aca="false">IF(OR($A22="",E22="",F22=""),"",E22*F22)</f>
        <v/>
      </c>
      <c r="H22" s="24" t="str">
        <f aca="false">IF($A22="","",IFERROR(INDEX('INVENTORY MASTER'!$O$4:$O$63,MATCH($A22,'INVENTORY MASTER'!$A$4:$A$63,0)),""))</f>
        <v/>
      </c>
      <c r="I22" s="25" t="str">
        <f aca="false">IF($A22="","",IFERROR(INDEX('INVENTORY MASTER'!$P$4:$P$63,MATCH($A22,'INVENTORY MASTER'!$A$4:$A$63,0)),""))</f>
        <v/>
      </c>
      <c r="J22" s="22"/>
      <c r="K22" s="26"/>
      <c r="L22" s="22" t="str">
        <f aca="false">IF(OR(G22="",K22=""),"",(G22+N(J22))*(1+K22))</f>
        <v/>
      </c>
      <c r="M22" s="26"/>
      <c r="N22" s="22" t="str">
        <f aca="false">IF(OR(G22="",M22=""),"",(G22+N(J22))*(1+M22))</f>
        <v/>
      </c>
      <c r="O22" s="24" t="str">
        <f aca="false">IF($A22="","",IFERROR(INDEX('INVENTORY MASTER'!$Q$4:$Q$63,MATCH($A22,'INVENTORY MASTER'!$A$4:$A$63,0)),""))</f>
        <v/>
      </c>
      <c r="P22" s="24" t="str">
        <f aca="false">IF($A22="","",IFERROR(INDEX('INVENTORY MASTER'!$R$4:$R$63,MATCH($A22,'INVENTORY MASTER'!$A$4:$A$63,0)),""))</f>
        <v/>
      </c>
      <c r="Q22" s="18"/>
      <c r="R22" s="18"/>
      <c r="S22" s="18"/>
      <c r="T22" s="24" t="str">
        <f aca="false">IF($A22="","",IFERROR(INDEX('INVENTORY MASTER'!$S$4:$S$63,MATCH($A22,'INVENTORY MASTER'!$A$4:$A$63,0)),""))</f>
        <v/>
      </c>
      <c r="U22" s="21" t="str">
        <f aca="false">IF($A22="","",IFERROR(INDEX('INVENTORY MASTER'!$AI$4:$AI$63,MATCH($A22,'INVENTORY MASTER'!$A$4:$A$63,0)),""))</f>
        <v/>
      </c>
      <c r="V22" s="22" t="str">
        <f aca="false">IF(OR($A22="",E22="",E22=0),"",U22/E22)</f>
        <v/>
      </c>
      <c r="W22" s="21" t="str">
        <f aca="false">IF($A22="","",IFERROR(INDEX('INVENTORY MASTER'!$AM$4:$AM$63,MATCH($A22,'INVENTORY MASTER'!$A$4:$A$63,0)),""))</f>
        <v/>
      </c>
      <c r="X22" s="21" t="str">
        <f aca="false">IF($A22="","",IFERROR(INDEX('INVENTORY MASTER'!$AO$4:$AO$63,MATCH($A22,'INVENTORY MASTER'!$A$4:$A$63,0)),""))</f>
        <v/>
      </c>
      <c r="Y22" s="24" t="str">
        <f aca="false">IF($A22="","",IFERROR(INDEX('INVENTORY MASTER'!$AS$4:$AS$63,MATCH($A22,'INVENTORY MASTER'!$A$4:$A$63,0)),""))</f>
        <v/>
      </c>
      <c r="Z22" s="24" t="str">
        <f aca="false">IF($A22="","",IFERROR(INDEX('INVENTORY MASTER'!$AR$4:$AR$63,MATCH($A22,'INVENTORY MASTER'!$A$4:$A$63,0)),""))</f>
        <v/>
      </c>
      <c r="AA22" s="18"/>
    </row>
    <row r="23" customFormat="false" ht="15" hidden="false" customHeight="false" outlineLevel="0" collapsed="false">
      <c r="A23" s="18"/>
      <c r="B23" s="24" t="str">
        <f aca="false">IF($A23="","",IFERROR(INDEX('INVENTORY MASTER'!$F$4:$F$63,MATCH($A23,'INVENTORY MASTER'!$A$4:$A$63,0)),""))</f>
        <v/>
      </c>
      <c r="C23" s="24" t="str">
        <f aca="false">IF($A23="","",IFERROR(INDEX('INVENTORY MASTER'!$L$4:$L$63,MATCH($A23,'INVENTORY MASTER'!$A$4:$A$63,0)),""))</f>
        <v/>
      </c>
      <c r="D23" s="24" t="str">
        <f aca="false">IF($A23="","",IFERROR(INDEX('INVENTORY MASTER'!$M$4:$M$63,MATCH($A23,'INVENTORY MASTER'!$A$4:$A$63,0)),""))</f>
        <v/>
      </c>
      <c r="E23" s="25" t="str">
        <f aca="false">IF($A23="","",IFERROR(INDEX('INVENTORY MASTER'!$N$4:$N$63,MATCH($A23,'INVENTORY MASTER'!$A$4:$A$63,0)),""))</f>
        <v/>
      </c>
      <c r="F23" s="22"/>
      <c r="G23" s="22" t="str">
        <f aca="false">IF(OR($A23="",E23="",F23=""),"",E23*F23)</f>
        <v/>
      </c>
      <c r="H23" s="24" t="str">
        <f aca="false">IF($A23="","",IFERROR(INDEX('INVENTORY MASTER'!$O$4:$O$63,MATCH($A23,'INVENTORY MASTER'!$A$4:$A$63,0)),""))</f>
        <v/>
      </c>
      <c r="I23" s="25" t="str">
        <f aca="false">IF($A23="","",IFERROR(INDEX('INVENTORY MASTER'!$P$4:$P$63,MATCH($A23,'INVENTORY MASTER'!$A$4:$A$63,0)),""))</f>
        <v/>
      </c>
      <c r="J23" s="22"/>
      <c r="K23" s="26"/>
      <c r="L23" s="22" t="str">
        <f aca="false">IF(OR(G23="",K23=""),"",(G23+N(J23))*(1+K23))</f>
        <v/>
      </c>
      <c r="M23" s="26"/>
      <c r="N23" s="22" t="str">
        <f aca="false">IF(OR(G23="",M23=""),"",(G23+N(J23))*(1+M23))</f>
        <v/>
      </c>
      <c r="O23" s="24" t="str">
        <f aca="false">IF($A23="","",IFERROR(INDEX('INVENTORY MASTER'!$Q$4:$Q$63,MATCH($A23,'INVENTORY MASTER'!$A$4:$A$63,0)),""))</f>
        <v/>
      </c>
      <c r="P23" s="24" t="str">
        <f aca="false">IF($A23="","",IFERROR(INDEX('INVENTORY MASTER'!$R$4:$R$63,MATCH($A23,'INVENTORY MASTER'!$A$4:$A$63,0)),""))</f>
        <v/>
      </c>
      <c r="Q23" s="18"/>
      <c r="R23" s="18"/>
      <c r="S23" s="18"/>
      <c r="T23" s="24" t="str">
        <f aca="false">IF($A23="","",IFERROR(INDEX('INVENTORY MASTER'!$S$4:$S$63,MATCH($A23,'INVENTORY MASTER'!$A$4:$A$63,0)),""))</f>
        <v/>
      </c>
      <c r="U23" s="21" t="str">
        <f aca="false">IF($A23="","",IFERROR(INDEX('INVENTORY MASTER'!$AI$4:$AI$63,MATCH($A23,'INVENTORY MASTER'!$A$4:$A$63,0)),""))</f>
        <v/>
      </c>
      <c r="V23" s="22" t="str">
        <f aca="false">IF(OR($A23="",E23="",E23=0),"",U23/E23)</f>
        <v/>
      </c>
      <c r="W23" s="21" t="str">
        <f aca="false">IF($A23="","",IFERROR(INDEX('INVENTORY MASTER'!$AM$4:$AM$63,MATCH($A23,'INVENTORY MASTER'!$A$4:$A$63,0)),""))</f>
        <v/>
      </c>
      <c r="X23" s="21" t="str">
        <f aca="false">IF($A23="","",IFERROR(INDEX('INVENTORY MASTER'!$AO$4:$AO$63,MATCH($A23,'INVENTORY MASTER'!$A$4:$A$63,0)),""))</f>
        <v/>
      </c>
      <c r="Y23" s="24" t="str">
        <f aca="false">IF($A23="","",IFERROR(INDEX('INVENTORY MASTER'!$AS$4:$AS$63,MATCH($A23,'INVENTORY MASTER'!$A$4:$A$63,0)),""))</f>
        <v/>
      </c>
      <c r="Z23" s="24" t="str">
        <f aca="false">IF($A23="","",IFERROR(INDEX('INVENTORY MASTER'!$AR$4:$AR$63,MATCH($A23,'INVENTORY MASTER'!$A$4:$A$63,0)),""))</f>
        <v/>
      </c>
      <c r="AA23" s="18"/>
    </row>
    <row r="24" customFormat="false" ht="15" hidden="false" customHeight="false" outlineLevel="0" collapsed="false">
      <c r="A24" s="18"/>
      <c r="B24" s="24" t="str">
        <f aca="false">IF($A24="","",IFERROR(INDEX('INVENTORY MASTER'!$F$4:$F$63,MATCH($A24,'INVENTORY MASTER'!$A$4:$A$63,0)),""))</f>
        <v/>
      </c>
      <c r="C24" s="24" t="str">
        <f aca="false">IF($A24="","",IFERROR(INDEX('INVENTORY MASTER'!$L$4:$L$63,MATCH($A24,'INVENTORY MASTER'!$A$4:$A$63,0)),""))</f>
        <v/>
      </c>
      <c r="D24" s="24" t="str">
        <f aca="false">IF($A24="","",IFERROR(INDEX('INVENTORY MASTER'!$M$4:$M$63,MATCH($A24,'INVENTORY MASTER'!$A$4:$A$63,0)),""))</f>
        <v/>
      </c>
      <c r="E24" s="25" t="str">
        <f aca="false">IF($A24="","",IFERROR(INDEX('INVENTORY MASTER'!$N$4:$N$63,MATCH($A24,'INVENTORY MASTER'!$A$4:$A$63,0)),""))</f>
        <v/>
      </c>
      <c r="F24" s="22"/>
      <c r="G24" s="22" t="str">
        <f aca="false">IF(OR($A24="",E24="",F24=""),"",E24*F24)</f>
        <v/>
      </c>
      <c r="H24" s="24" t="str">
        <f aca="false">IF($A24="","",IFERROR(INDEX('INVENTORY MASTER'!$O$4:$O$63,MATCH($A24,'INVENTORY MASTER'!$A$4:$A$63,0)),""))</f>
        <v/>
      </c>
      <c r="I24" s="25" t="str">
        <f aca="false">IF($A24="","",IFERROR(INDEX('INVENTORY MASTER'!$P$4:$P$63,MATCH($A24,'INVENTORY MASTER'!$A$4:$A$63,0)),""))</f>
        <v/>
      </c>
      <c r="J24" s="22"/>
      <c r="K24" s="26"/>
      <c r="L24" s="22" t="str">
        <f aca="false">IF(OR(G24="",K24=""),"",(G24+N(J24))*(1+K24))</f>
        <v/>
      </c>
      <c r="M24" s="26"/>
      <c r="N24" s="22" t="str">
        <f aca="false">IF(OR(G24="",M24=""),"",(G24+N(J24))*(1+M24))</f>
        <v/>
      </c>
      <c r="O24" s="24" t="str">
        <f aca="false">IF($A24="","",IFERROR(INDEX('INVENTORY MASTER'!$Q$4:$Q$63,MATCH($A24,'INVENTORY MASTER'!$A$4:$A$63,0)),""))</f>
        <v/>
      </c>
      <c r="P24" s="24" t="str">
        <f aca="false">IF($A24="","",IFERROR(INDEX('INVENTORY MASTER'!$R$4:$R$63,MATCH($A24,'INVENTORY MASTER'!$A$4:$A$63,0)),""))</f>
        <v/>
      </c>
      <c r="Q24" s="18"/>
      <c r="R24" s="18"/>
      <c r="S24" s="18"/>
      <c r="T24" s="24" t="str">
        <f aca="false">IF($A24="","",IFERROR(INDEX('INVENTORY MASTER'!$S$4:$S$63,MATCH($A24,'INVENTORY MASTER'!$A$4:$A$63,0)),""))</f>
        <v/>
      </c>
      <c r="U24" s="21" t="str">
        <f aca="false">IF($A24="","",IFERROR(INDEX('INVENTORY MASTER'!$AI$4:$AI$63,MATCH($A24,'INVENTORY MASTER'!$A$4:$A$63,0)),""))</f>
        <v/>
      </c>
      <c r="V24" s="22" t="str">
        <f aca="false">IF(OR($A24="",E24="",E24=0),"",U24/E24)</f>
        <v/>
      </c>
      <c r="W24" s="21" t="str">
        <f aca="false">IF($A24="","",IFERROR(INDEX('INVENTORY MASTER'!$AM$4:$AM$63,MATCH($A24,'INVENTORY MASTER'!$A$4:$A$63,0)),""))</f>
        <v/>
      </c>
      <c r="X24" s="21" t="str">
        <f aca="false">IF($A24="","",IFERROR(INDEX('INVENTORY MASTER'!$AO$4:$AO$63,MATCH($A24,'INVENTORY MASTER'!$A$4:$A$63,0)),""))</f>
        <v/>
      </c>
      <c r="Y24" s="24" t="str">
        <f aca="false">IF($A24="","",IFERROR(INDEX('INVENTORY MASTER'!$AS$4:$AS$63,MATCH($A24,'INVENTORY MASTER'!$A$4:$A$63,0)),""))</f>
        <v/>
      </c>
      <c r="Z24" s="24" t="str">
        <f aca="false">IF($A24="","",IFERROR(INDEX('INVENTORY MASTER'!$AR$4:$AR$63,MATCH($A24,'INVENTORY MASTER'!$A$4:$A$63,0)),""))</f>
        <v/>
      </c>
      <c r="AA24" s="18"/>
    </row>
    <row r="25" customFormat="false" ht="15" hidden="false" customHeight="false" outlineLevel="0" collapsed="false">
      <c r="A25" s="18"/>
      <c r="B25" s="24" t="str">
        <f aca="false">IF($A25="","",IFERROR(INDEX('INVENTORY MASTER'!$F$4:$F$63,MATCH($A25,'INVENTORY MASTER'!$A$4:$A$63,0)),""))</f>
        <v/>
      </c>
      <c r="C25" s="24" t="str">
        <f aca="false">IF($A25="","",IFERROR(INDEX('INVENTORY MASTER'!$L$4:$L$63,MATCH($A25,'INVENTORY MASTER'!$A$4:$A$63,0)),""))</f>
        <v/>
      </c>
      <c r="D25" s="24" t="str">
        <f aca="false">IF($A25="","",IFERROR(INDEX('INVENTORY MASTER'!$M$4:$M$63,MATCH($A25,'INVENTORY MASTER'!$A$4:$A$63,0)),""))</f>
        <v/>
      </c>
      <c r="E25" s="25" t="str">
        <f aca="false">IF($A25="","",IFERROR(INDEX('INVENTORY MASTER'!$N$4:$N$63,MATCH($A25,'INVENTORY MASTER'!$A$4:$A$63,0)),""))</f>
        <v/>
      </c>
      <c r="F25" s="22"/>
      <c r="G25" s="22" t="str">
        <f aca="false">IF(OR($A25="",E25="",F25=""),"",E25*F25)</f>
        <v/>
      </c>
      <c r="H25" s="24" t="str">
        <f aca="false">IF($A25="","",IFERROR(INDEX('INVENTORY MASTER'!$O$4:$O$63,MATCH($A25,'INVENTORY MASTER'!$A$4:$A$63,0)),""))</f>
        <v/>
      </c>
      <c r="I25" s="25" t="str">
        <f aca="false">IF($A25="","",IFERROR(INDEX('INVENTORY MASTER'!$P$4:$P$63,MATCH($A25,'INVENTORY MASTER'!$A$4:$A$63,0)),""))</f>
        <v/>
      </c>
      <c r="J25" s="22"/>
      <c r="K25" s="26"/>
      <c r="L25" s="22" t="str">
        <f aca="false">IF(OR(G25="",K25=""),"",(G25+N(J25))*(1+K25))</f>
        <v/>
      </c>
      <c r="M25" s="26"/>
      <c r="N25" s="22" t="str">
        <f aca="false">IF(OR(G25="",M25=""),"",(G25+N(J25))*(1+M25))</f>
        <v/>
      </c>
      <c r="O25" s="24" t="str">
        <f aca="false">IF($A25="","",IFERROR(INDEX('INVENTORY MASTER'!$Q$4:$Q$63,MATCH($A25,'INVENTORY MASTER'!$A$4:$A$63,0)),""))</f>
        <v/>
      </c>
      <c r="P25" s="24" t="str">
        <f aca="false">IF($A25="","",IFERROR(INDEX('INVENTORY MASTER'!$R$4:$R$63,MATCH($A25,'INVENTORY MASTER'!$A$4:$A$63,0)),""))</f>
        <v/>
      </c>
      <c r="Q25" s="18"/>
      <c r="R25" s="18"/>
      <c r="S25" s="18"/>
      <c r="T25" s="24" t="str">
        <f aca="false">IF($A25="","",IFERROR(INDEX('INVENTORY MASTER'!$S$4:$S$63,MATCH($A25,'INVENTORY MASTER'!$A$4:$A$63,0)),""))</f>
        <v/>
      </c>
      <c r="U25" s="21" t="str">
        <f aca="false">IF($A25="","",IFERROR(INDEX('INVENTORY MASTER'!$AI$4:$AI$63,MATCH($A25,'INVENTORY MASTER'!$A$4:$A$63,0)),""))</f>
        <v/>
      </c>
      <c r="V25" s="22" t="str">
        <f aca="false">IF(OR($A25="",E25="",E25=0),"",U25/E25)</f>
        <v/>
      </c>
      <c r="W25" s="21" t="str">
        <f aca="false">IF($A25="","",IFERROR(INDEX('INVENTORY MASTER'!$AM$4:$AM$63,MATCH($A25,'INVENTORY MASTER'!$A$4:$A$63,0)),""))</f>
        <v/>
      </c>
      <c r="X25" s="21" t="str">
        <f aca="false">IF($A25="","",IFERROR(INDEX('INVENTORY MASTER'!$AO$4:$AO$63,MATCH($A25,'INVENTORY MASTER'!$A$4:$A$63,0)),""))</f>
        <v/>
      </c>
      <c r="Y25" s="24" t="str">
        <f aca="false">IF($A25="","",IFERROR(INDEX('INVENTORY MASTER'!$AS$4:$AS$63,MATCH($A25,'INVENTORY MASTER'!$A$4:$A$63,0)),""))</f>
        <v/>
      </c>
      <c r="Z25" s="24" t="str">
        <f aca="false">IF($A25="","",IFERROR(INDEX('INVENTORY MASTER'!$AR$4:$AR$63,MATCH($A25,'INVENTORY MASTER'!$A$4:$A$63,0)),""))</f>
        <v/>
      </c>
      <c r="AA25" s="18"/>
    </row>
    <row r="26" customFormat="false" ht="15" hidden="false" customHeight="false" outlineLevel="0" collapsed="false">
      <c r="A26" s="18"/>
      <c r="B26" s="24" t="str">
        <f aca="false">IF($A26="","",IFERROR(INDEX('INVENTORY MASTER'!$F$4:$F$63,MATCH($A26,'INVENTORY MASTER'!$A$4:$A$63,0)),""))</f>
        <v/>
      </c>
      <c r="C26" s="24" t="str">
        <f aca="false">IF($A26="","",IFERROR(INDEX('INVENTORY MASTER'!$L$4:$L$63,MATCH($A26,'INVENTORY MASTER'!$A$4:$A$63,0)),""))</f>
        <v/>
      </c>
      <c r="D26" s="24" t="str">
        <f aca="false">IF($A26="","",IFERROR(INDEX('INVENTORY MASTER'!$M$4:$M$63,MATCH($A26,'INVENTORY MASTER'!$A$4:$A$63,0)),""))</f>
        <v/>
      </c>
      <c r="E26" s="25" t="str">
        <f aca="false">IF($A26="","",IFERROR(INDEX('INVENTORY MASTER'!$N$4:$N$63,MATCH($A26,'INVENTORY MASTER'!$A$4:$A$63,0)),""))</f>
        <v/>
      </c>
      <c r="F26" s="22"/>
      <c r="G26" s="22" t="str">
        <f aca="false">IF(OR($A26="",E26="",F26=""),"",E26*F26)</f>
        <v/>
      </c>
      <c r="H26" s="24" t="str">
        <f aca="false">IF($A26="","",IFERROR(INDEX('INVENTORY MASTER'!$O$4:$O$63,MATCH($A26,'INVENTORY MASTER'!$A$4:$A$63,0)),""))</f>
        <v/>
      </c>
      <c r="I26" s="25" t="str">
        <f aca="false">IF($A26="","",IFERROR(INDEX('INVENTORY MASTER'!$P$4:$P$63,MATCH($A26,'INVENTORY MASTER'!$A$4:$A$63,0)),""))</f>
        <v/>
      </c>
      <c r="J26" s="22"/>
      <c r="K26" s="26"/>
      <c r="L26" s="22" t="str">
        <f aca="false">IF(OR(G26="",K26=""),"",(G26+N(J26))*(1+K26))</f>
        <v/>
      </c>
      <c r="M26" s="26"/>
      <c r="N26" s="22" t="str">
        <f aca="false">IF(OR(G26="",M26=""),"",(G26+N(J26))*(1+M26))</f>
        <v/>
      </c>
      <c r="O26" s="24" t="str">
        <f aca="false">IF($A26="","",IFERROR(INDEX('INVENTORY MASTER'!$Q$4:$Q$63,MATCH($A26,'INVENTORY MASTER'!$A$4:$A$63,0)),""))</f>
        <v/>
      </c>
      <c r="P26" s="24" t="str">
        <f aca="false">IF($A26="","",IFERROR(INDEX('INVENTORY MASTER'!$R$4:$R$63,MATCH($A26,'INVENTORY MASTER'!$A$4:$A$63,0)),""))</f>
        <v/>
      </c>
      <c r="Q26" s="18"/>
      <c r="R26" s="18"/>
      <c r="S26" s="18"/>
      <c r="T26" s="24" t="str">
        <f aca="false">IF($A26="","",IFERROR(INDEX('INVENTORY MASTER'!$S$4:$S$63,MATCH($A26,'INVENTORY MASTER'!$A$4:$A$63,0)),""))</f>
        <v/>
      </c>
      <c r="U26" s="21" t="str">
        <f aca="false">IF($A26="","",IFERROR(INDEX('INVENTORY MASTER'!$AI$4:$AI$63,MATCH($A26,'INVENTORY MASTER'!$A$4:$A$63,0)),""))</f>
        <v/>
      </c>
      <c r="V26" s="22" t="str">
        <f aca="false">IF(OR($A26="",E26="",E26=0),"",U26/E26)</f>
        <v/>
      </c>
      <c r="W26" s="21" t="str">
        <f aca="false">IF($A26="","",IFERROR(INDEX('INVENTORY MASTER'!$AM$4:$AM$63,MATCH($A26,'INVENTORY MASTER'!$A$4:$A$63,0)),""))</f>
        <v/>
      </c>
      <c r="X26" s="21" t="str">
        <f aca="false">IF($A26="","",IFERROR(INDEX('INVENTORY MASTER'!$AO$4:$AO$63,MATCH($A26,'INVENTORY MASTER'!$A$4:$A$63,0)),""))</f>
        <v/>
      </c>
      <c r="Y26" s="24" t="str">
        <f aca="false">IF($A26="","",IFERROR(INDEX('INVENTORY MASTER'!$AS$4:$AS$63,MATCH($A26,'INVENTORY MASTER'!$A$4:$A$63,0)),""))</f>
        <v/>
      </c>
      <c r="Z26" s="24" t="str">
        <f aca="false">IF($A26="","",IFERROR(INDEX('INVENTORY MASTER'!$AR$4:$AR$63,MATCH($A26,'INVENTORY MASTER'!$A$4:$A$63,0)),""))</f>
        <v/>
      </c>
      <c r="AA26" s="18"/>
    </row>
    <row r="27" customFormat="false" ht="15" hidden="false" customHeight="false" outlineLevel="0" collapsed="false">
      <c r="A27" s="18"/>
      <c r="B27" s="24" t="str">
        <f aca="false">IF($A27="","",IFERROR(INDEX('INVENTORY MASTER'!$F$4:$F$63,MATCH($A27,'INVENTORY MASTER'!$A$4:$A$63,0)),""))</f>
        <v/>
      </c>
      <c r="C27" s="24" t="str">
        <f aca="false">IF($A27="","",IFERROR(INDEX('INVENTORY MASTER'!$L$4:$L$63,MATCH($A27,'INVENTORY MASTER'!$A$4:$A$63,0)),""))</f>
        <v/>
      </c>
      <c r="D27" s="24" t="str">
        <f aca="false">IF($A27="","",IFERROR(INDEX('INVENTORY MASTER'!$M$4:$M$63,MATCH($A27,'INVENTORY MASTER'!$A$4:$A$63,0)),""))</f>
        <v/>
      </c>
      <c r="E27" s="25" t="str">
        <f aca="false">IF($A27="","",IFERROR(INDEX('INVENTORY MASTER'!$N$4:$N$63,MATCH($A27,'INVENTORY MASTER'!$A$4:$A$63,0)),""))</f>
        <v/>
      </c>
      <c r="F27" s="22"/>
      <c r="G27" s="22" t="str">
        <f aca="false">IF(OR($A27="",E27="",F27=""),"",E27*F27)</f>
        <v/>
      </c>
      <c r="H27" s="24" t="str">
        <f aca="false">IF($A27="","",IFERROR(INDEX('INVENTORY MASTER'!$O$4:$O$63,MATCH($A27,'INVENTORY MASTER'!$A$4:$A$63,0)),""))</f>
        <v/>
      </c>
      <c r="I27" s="25" t="str">
        <f aca="false">IF($A27="","",IFERROR(INDEX('INVENTORY MASTER'!$P$4:$P$63,MATCH($A27,'INVENTORY MASTER'!$A$4:$A$63,0)),""))</f>
        <v/>
      </c>
      <c r="J27" s="22"/>
      <c r="K27" s="26"/>
      <c r="L27" s="22" t="str">
        <f aca="false">IF(OR(G27="",K27=""),"",(G27+N(J27))*(1+K27))</f>
        <v/>
      </c>
      <c r="M27" s="26"/>
      <c r="N27" s="22" t="str">
        <f aca="false">IF(OR(G27="",M27=""),"",(G27+N(J27))*(1+M27))</f>
        <v/>
      </c>
      <c r="O27" s="24" t="str">
        <f aca="false">IF($A27="","",IFERROR(INDEX('INVENTORY MASTER'!$Q$4:$Q$63,MATCH($A27,'INVENTORY MASTER'!$A$4:$A$63,0)),""))</f>
        <v/>
      </c>
      <c r="P27" s="24" t="str">
        <f aca="false">IF($A27="","",IFERROR(INDEX('INVENTORY MASTER'!$R$4:$R$63,MATCH($A27,'INVENTORY MASTER'!$A$4:$A$63,0)),""))</f>
        <v/>
      </c>
      <c r="Q27" s="18"/>
      <c r="R27" s="18"/>
      <c r="S27" s="18"/>
      <c r="T27" s="24" t="str">
        <f aca="false">IF($A27="","",IFERROR(INDEX('INVENTORY MASTER'!$S$4:$S$63,MATCH($A27,'INVENTORY MASTER'!$A$4:$A$63,0)),""))</f>
        <v/>
      </c>
      <c r="U27" s="21" t="str">
        <f aca="false">IF($A27="","",IFERROR(INDEX('INVENTORY MASTER'!$AI$4:$AI$63,MATCH($A27,'INVENTORY MASTER'!$A$4:$A$63,0)),""))</f>
        <v/>
      </c>
      <c r="V27" s="22" t="str">
        <f aca="false">IF(OR($A27="",E27="",E27=0),"",U27/E27)</f>
        <v/>
      </c>
      <c r="W27" s="21" t="str">
        <f aca="false">IF($A27="","",IFERROR(INDEX('INVENTORY MASTER'!$AM$4:$AM$63,MATCH($A27,'INVENTORY MASTER'!$A$4:$A$63,0)),""))</f>
        <v/>
      </c>
      <c r="X27" s="21" t="str">
        <f aca="false">IF($A27="","",IFERROR(INDEX('INVENTORY MASTER'!$AO$4:$AO$63,MATCH($A27,'INVENTORY MASTER'!$A$4:$A$63,0)),""))</f>
        <v/>
      </c>
      <c r="Y27" s="24" t="str">
        <f aca="false">IF($A27="","",IFERROR(INDEX('INVENTORY MASTER'!$AS$4:$AS$63,MATCH($A27,'INVENTORY MASTER'!$A$4:$A$63,0)),""))</f>
        <v/>
      </c>
      <c r="Z27" s="24" t="str">
        <f aca="false">IF($A27="","",IFERROR(INDEX('INVENTORY MASTER'!$AR$4:$AR$63,MATCH($A27,'INVENTORY MASTER'!$A$4:$A$63,0)),""))</f>
        <v/>
      </c>
      <c r="AA27" s="18"/>
    </row>
    <row r="28" customFormat="false" ht="15" hidden="false" customHeight="false" outlineLevel="0" collapsed="false">
      <c r="A28" s="18"/>
      <c r="B28" s="24" t="str">
        <f aca="false">IF($A28="","",IFERROR(INDEX('INVENTORY MASTER'!$F$4:$F$63,MATCH($A28,'INVENTORY MASTER'!$A$4:$A$63,0)),""))</f>
        <v/>
      </c>
      <c r="C28" s="24" t="str">
        <f aca="false">IF($A28="","",IFERROR(INDEX('INVENTORY MASTER'!$L$4:$L$63,MATCH($A28,'INVENTORY MASTER'!$A$4:$A$63,0)),""))</f>
        <v/>
      </c>
      <c r="D28" s="24" t="str">
        <f aca="false">IF($A28="","",IFERROR(INDEX('INVENTORY MASTER'!$M$4:$M$63,MATCH($A28,'INVENTORY MASTER'!$A$4:$A$63,0)),""))</f>
        <v/>
      </c>
      <c r="E28" s="25" t="str">
        <f aca="false">IF($A28="","",IFERROR(INDEX('INVENTORY MASTER'!$N$4:$N$63,MATCH($A28,'INVENTORY MASTER'!$A$4:$A$63,0)),""))</f>
        <v/>
      </c>
      <c r="F28" s="22"/>
      <c r="G28" s="22" t="str">
        <f aca="false">IF(OR($A28="",E28="",F28=""),"",E28*F28)</f>
        <v/>
      </c>
      <c r="H28" s="24" t="str">
        <f aca="false">IF($A28="","",IFERROR(INDEX('INVENTORY MASTER'!$O$4:$O$63,MATCH($A28,'INVENTORY MASTER'!$A$4:$A$63,0)),""))</f>
        <v/>
      </c>
      <c r="I28" s="25" t="str">
        <f aca="false">IF($A28="","",IFERROR(INDEX('INVENTORY MASTER'!$P$4:$P$63,MATCH($A28,'INVENTORY MASTER'!$A$4:$A$63,0)),""))</f>
        <v/>
      </c>
      <c r="J28" s="22"/>
      <c r="K28" s="26"/>
      <c r="L28" s="22" t="str">
        <f aca="false">IF(OR(G28="",K28=""),"",(G28+N(J28))*(1+K28))</f>
        <v/>
      </c>
      <c r="M28" s="26"/>
      <c r="N28" s="22" t="str">
        <f aca="false">IF(OR(G28="",M28=""),"",(G28+N(J28))*(1+M28))</f>
        <v/>
      </c>
      <c r="O28" s="24" t="str">
        <f aca="false">IF($A28="","",IFERROR(INDEX('INVENTORY MASTER'!$Q$4:$Q$63,MATCH($A28,'INVENTORY MASTER'!$A$4:$A$63,0)),""))</f>
        <v/>
      </c>
      <c r="P28" s="24" t="str">
        <f aca="false">IF($A28="","",IFERROR(INDEX('INVENTORY MASTER'!$R$4:$R$63,MATCH($A28,'INVENTORY MASTER'!$A$4:$A$63,0)),""))</f>
        <v/>
      </c>
      <c r="Q28" s="18"/>
      <c r="R28" s="18"/>
      <c r="S28" s="18"/>
      <c r="T28" s="24" t="str">
        <f aca="false">IF($A28="","",IFERROR(INDEX('INVENTORY MASTER'!$S$4:$S$63,MATCH($A28,'INVENTORY MASTER'!$A$4:$A$63,0)),""))</f>
        <v/>
      </c>
      <c r="U28" s="21" t="str">
        <f aca="false">IF($A28="","",IFERROR(INDEX('INVENTORY MASTER'!$AI$4:$AI$63,MATCH($A28,'INVENTORY MASTER'!$A$4:$A$63,0)),""))</f>
        <v/>
      </c>
      <c r="V28" s="22" t="str">
        <f aca="false">IF(OR($A28="",E28="",E28=0),"",U28/E28)</f>
        <v/>
      </c>
      <c r="W28" s="21" t="str">
        <f aca="false">IF($A28="","",IFERROR(INDEX('INVENTORY MASTER'!$AM$4:$AM$63,MATCH($A28,'INVENTORY MASTER'!$A$4:$A$63,0)),""))</f>
        <v/>
      </c>
      <c r="X28" s="21" t="str">
        <f aca="false">IF($A28="","",IFERROR(INDEX('INVENTORY MASTER'!$AO$4:$AO$63,MATCH($A28,'INVENTORY MASTER'!$A$4:$A$63,0)),""))</f>
        <v/>
      </c>
      <c r="Y28" s="24" t="str">
        <f aca="false">IF($A28="","",IFERROR(INDEX('INVENTORY MASTER'!$AS$4:$AS$63,MATCH($A28,'INVENTORY MASTER'!$A$4:$A$63,0)),""))</f>
        <v/>
      </c>
      <c r="Z28" s="24" t="str">
        <f aca="false">IF($A28="","",IFERROR(INDEX('INVENTORY MASTER'!$AR$4:$AR$63,MATCH($A28,'INVENTORY MASTER'!$A$4:$A$63,0)),""))</f>
        <v/>
      </c>
      <c r="AA28" s="18"/>
    </row>
    <row r="29" customFormat="false" ht="15" hidden="false" customHeight="false" outlineLevel="0" collapsed="false">
      <c r="A29" s="18"/>
      <c r="B29" s="24" t="str">
        <f aca="false">IF($A29="","",IFERROR(INDEX('INVENTORY MASTER'!$F$4:$F$63,MATCH($A29,'INVENTORY MASTER'!$A$4:$A$63,0)),""))</f>
        <v/>
      </c>
      <c r="C29" s="24" t="str">
        <f aca="false">IF($A29="","",IFERROR(INDEX('INVENTORY MASTER'!$L$4:$L$63,MATCH($A29,'INVENTORY MASTER'!$A$4:$A$63,0)),""))</f>
        <v/>
      </c>
      <c r="D29" s="24" t="str">
        <f aca="false">IF($A29="","",IFERROR(INDEX('INVENTORY MASTER'!$M$4:$M$63,MATCH($A29,'INVENTORY MASTER'!$A$4:$A$63,0)),""))</f>
        <v/>
      </c>
      <c r="E29" s="25" t="str">
        <f aca="false">IF($A29="","",IFERROR(INDEX('INVENTORY MASTER'!$N$4:$N$63,MATCH($A29,'INVENTORY MASTER'!$A$4:$A$63,0)),""))</f>
        <v/>
      </c>
      <c r="F29" s="22"/>
      <c r="G29" s="22" t="str">
        <f aca="false">IF(OR($A29="",E29="",F29=""),"",E29*F29)</f>
        <v/>
      </c>
      <c r="H29" s="24" t="str">
        <f aca="false">IF($A29="","",IFERROR(INDEX('INVENTORY MASTER'!$O$4:$O$63,MATCH($A29,'INVENTORY MASTER'!$A$4:$A$63,0)),""))</f>
        <v/>
      </c>
      <c r="I29" s="25" t="str">
        <f aca="false">IF($A29="","",IFERROR(INDEX('INVENTORY MASTER'!$P$4:$P$63,MATCH($A29,'INVENTORY MASTER'!$A$4:$A$63,0)),""))</f>
        <v/>
      </c>
      <c r="J29" s="22"/>
      <c r="K29" s="26"/>
      <c r="L29" s="22" t="str">
        <f aca="false">IF(OR(G29="",K29=""),"",(G29+N(J29))*(1+K29))</f>
        <v/>
      </c>
      <c r="M29" s="26"/>
      <c r="N29" s="22" t="str">
        <f aca="false">IF(OR(G29="",M29=""),"",(G29+N(J29))*(1+M29))</f>
        <v/>
      </c>
      <c r="O29" s="24" t="str">
        <f aca="false">IF($A29="","",IFERROR(INDEX('INVENTORY MASTER'!$Q$4:$Q$63,MATCH($A29,'INVENTORY MASTER'!$A$4:$A$63,0)),""))</f>
        <v/>
      </c>
      <c r="P29" s="24" t="str">
        <f aca="false">IF($A29="","",IFERROR(INDEX('INVENTORY MASTER'!$R$4:$R$63,MATCH($A29,'INVENTORY MASTER'!$A$4:$A$63,0)),""))</f>
        <v/>
      </c>
      <c r="Q29" s="18"/>
      <c r="R29" s="18"/>
      <c r="S29" s="18"/>
      <c r="T29" s="24" t="str">
        <f aca="false">IF($A29="","",IFERROR(INDEX('INVENTORY MASTER'!$S$4:$S$63,MATCH($A29,'INVENTORY MASTER'!$A$4:$A$63,0)),""))</f>
        <v/>
      </c>
      <c r="U29" s="21" t="str">
        <f aca="false">IF($A29="","",IFERROR(INDEX('INVENTORY MASTER'!$AI$4:$AI$63,MATCH($A29,'INVENTORY MASTER'!$A$4:$A$63,0)),""))</f>
        <v/>
      </c>
      <c r="V29" s="22" t="str">
        <f aca="false">IF(OR($A29="",E29="",E29=0),"",U29/E29)</f>
        <v/>
      </c>
      <c r="W29" s="21" t="str">
        <f aca="false">IF($A29="","",IFERROR(INDEX('INVENTORY MASTER'!$AM$4:$AM$63,MATCH($A29,'INVENTORY MASTER'!$A$4:$A$63,0)),""))</f>
        <v/>
      </c>
      <c r="X29" s="21" t="str">
        <f aca="false">IF($A29="","",IFERROR(INDEX('INVENTORY MASTER'!$AO$4:$AO$63,MATCH($A29,'INVENTORY MASTER'!$A$4:$A$63,0)),""))</f>
        <v/>
      </c>
      <c r="Y29" s="24" t="str">
        <f aca="false">IF($A29="","",IFERROR(INDEX('INVENTORY MASTER'!$AS$4:$AS$63,MATCH($A29,'INVENTORY MASTER'!$A$4:$A$63,0)),""))</f>
        <v/>
      </c>
      <c r="Z29" s="24" t="str">
        <f aca="false">IF($A29="","",IFERROR(INDEX('INVENTORY MASTER'!$AR$4:$AR$63,MATCH($A29,'INVENTORY MASTER'!$A$4:$A$63,0)),""))</f>
        <v/>
      </c>
      <c r="AA29" s="18"/>
    </row>
    <row r="30" customFormat="false" ht="15" hidden="false" customHeight="false" outlineLevel="0" collapsed="false">
      <c r="A30" s="18"/>
      <c r="B30" s="24" t="str">
        <f aca="false">IF($A30="","",IFERROR(INDEX('INVENTORY MASTER'!$F$4:$F$63,MATCH($A30,'INVENTORY MASTER'!$A$4:$A$63,0)),""))</f>
        <v/>
      </c>
      <c r="C30" s="24" t="str">
        <f aca="false">IF($A30="","",IFERROR(INDEX('INVENTORY MASTER'!$L$4:$L$63,MATCH($A30,'INVENTORY MASTER'!$A$4:$A$63,0)),""))</f>
        <v/>
      </c>
      <c r="D30" s="24" t="str">
        <f aca="false">IF($A30="","",IFERROR(INDEX('INVENTORY MASTER'!$M$4:$M$63,MATCH($A30,'INVENTORY MASTER'!$A$4:$A$63,0)),""))</f>
        <v/>
      </c>
      <c r="E30" s="25" t="str">
        <f aca="false">IF($A30="","",IFERROR(INDEX('INVENTORY MASTER'!$N$4:$N$63,MATCH($A30,'INVENTORY MASTER'!$A$4:$A$63,0)),""))</f>
        <v/>
      </c>
      <c r="F30" s="22"/>
      <c r="G30" s="22" t="str">
        <f aca="false">IF(OR($A30="",E30="",F30=""),"",E30*F30)</f>
        <v/>
      </c>
      <c r="H30" s="24" t="str">
        <f aca="false">IF($A30="","",IFERROR(INDEX('INVENTORY MASTER'!$O$4:$O$63,MATCH($A30,'INVENTORY MASTER'!$A$4:$A$63,0)),""))</f>
        <v/>
      </c>
      <c r="I30" s="25" t="str">
        <f aca="false">IF($A30="","",IFERROR(INDEX('INVENTORY MASTER'!$P$4:$P$63,MATCH($A30,'INVENTORY MASTER'!$A$4:$A$63,0)),""))</f>
        <v/>
      </c>
      <c r="J30" s="22"/>
      <c r="K30" s="26"/>
      <c r="L30" s="22" t="str">
        <f aca="false">IF(OR(G30="",K30=""),"",(G30+N(J30))*(1+K30))</f>
        <v/>
      </c>
      <c r="M30" s="26"/>
      <c r="N30" s="22" t="str">
        <f aca="false">IF(OR(G30="",M30=""),"",(G30+N(J30))*(1+M30))</f>
        <v/>
      </c>
      <c r="O30" s="24" t="str">
        <f aca="false">IF($A30="","",IFERROR(INDEX('INVENTORY MASTER'!$Q$4:$Q$63,MATCH($A30,'INVENTORY MASTER'!$A$4:$A$63,0)),""))</f>
        <v/>
      </c>
      <c r="P30" s="24" t="str">
        <f aca="false">IF($A30="","",IFERROR(INDEX('INVENTORY MASTER'!$R$4:$R$63,MATCH($A30,'INVENTORY MASTER'!$A$4:$A$63,0)),""))</f>
        <v/>
      </c>
      <c r="Q30" s="18"/>
      <c r="R30" s="18"/>
      <c r="S30" s="18"/>
      <c r="T30" s="24" t="str">
        <f aca="false">IF($A30="","",IFERROR(INDEX('INVENTORY MASTER'!$S$4:$S$63,MATCH($A30,'INVENTORY MASTER'!$A$4:$A$63,0)),""))</f>
        <v/>
      </c>
      <c r="U30" s="21" t="str">
        <f aca="false">IF($A30="","",IFERROR(INDEX('INVENTORY MASTER'!$AI$4:$AI$63,MATCH($A30,'INVENTORY MASTER'!$A$4:$A$63,0)),""))</f>
        <v/>
      </c>
      <c r="V30" s="22" t="str">
        <f aca="false">IF(OR($A30="",E30="",E30=0),"",U30/E30)</f>
        <v/>
      </c>
      <c r="W30" s="21" t="str">
        <f aca="false">IF($A30="","",IFERROR(INDEX('INVENTORY MASTER'!$AM$4:$AM$63,MATCH($A30,'INVENTORY MASTER'!$A$4:$A$63,0)),""))</f>
        <v/>
      </c>
      <c r="X30" s="21" t="str">
        <f aca="false">IF($A30="","",IFERROR(INDEX('INVENTORY MASTER'!$AO$4:$AO$63,MATCH($A30,'INVENTORY MASTER'!$A$4:$A$63,0)),""))</f>
        <v/>
      </c>
      <c r="Y30" s="24" t="str">
        <f aca="false">IF($A30="","",IFERROR(INDEX('INVENTORY MASTER'!$AS$4:$AS$63,MATCH($A30,'INVENTORY MASTER'!$A$4:$A$63,0)),""))</f>
        <v/>
      </c>
      <c r="Z30" s="24" t="str">
        <f aca="false">IF($A30="","",IFERROR(INDEX('INVENTORY MASTER'!$AR$4:$AR$63,MATCH($A30,'INVENTORY MASTER'!$A$4:$A$63,0)),""))</f>
        <v/>
      </c>
      <c r="AA30" s="18"/>
    </row>
    <row r="31" customFormat="false" ht="15" hidden="false" customHeight="false" outlineLevel="0" collapsed="false">
      <c r="A31" s="18"/>
      <c r="B31" s="24" t="str">
        <f aca="false">IF($A31="","",IFERROR(INDEX('INVENTORY MASTER'!$F$4:$F$63,MATCH($A31,'INVENTORY MASTER'!$A$4:$A$63,0)),""))</f>
        <v/>
      </c>
      <c r="C31" s="24" t="str">
        <f aca="false">IF($A31="","",IFERROR(INDEX('INVENTORY MASTER'!$L$4:$L$63,MATCH($A31,'INVENTORY MASTER'!$A$4:$A$63,0)),""))</f>
        <v/>
      </c>
      <c r="D31" s="24" t="str">
        <f aca="false">IF($A31="","",IFERROR(INDEX('INVENTORY MASTER'!$M$4:$M$63,MATCH($A31,'INVENTORY MASTER'!$A$4:$A$63,0)),""))</f>
        <v/>
      </c>
      <c r="E31" s="25" t="str">
        <f aca="false">IF($A31="","",IFERROR(INDEX('INVENTORY MASTER'!$N$4:$N$63,MATCH($A31,'INVENTORY MASTER'!$A$4:$A$63,0)),""))</f>
        <v/>
      </c>
      <c r="F31" s="22"/>
      <c r="G31" s="22" t="str">
        <f aca="false">IF(OR($A31="",E31="",F31=""),"",E31*F31)</f>
        <v/>
      </c>
      <c r="H31" s="24" t="str">
        <f aca="false">IF($A31="","",IFERROR(INDEX('INVENTORY MASTER'!$O$4:$O$63,MATCH($A31,'INVENTORY MASTER'!$A$4:$A$63,0)),""))</f>
        <v/>
      </c>
      <c r="I31" s="25" t="str">
        <f aca="false">IF($A31="","",IFERROR(INDEX('INVENTORY MASTER'!$P$4:$P$63,MATCH($A31,'INVENTORY MASTER'!$A$4:$A$63,0)),""))</f>
        <v/>
      </c>
      <c r="J31" s="22"/>
      <c r="K31" s="26"/>
      <c r="L31" s="22" t="str">
        <f aca="false">IF(OR(G31="",K31=""),"",(G31+N(J31))*(1+K31))</f>
        <v/>
      </c>
      <c r="M31" s="26"/>
      <c r="N31" s="22" t="str">
        <f aca="false">IF(OR(G31="",M31=""),"",(G31+N(J31))*(1+M31))</f>
        <v/>
      </c>
      <c r="O31" s="24" t="str">
        <f aca="false">IF($A31="","",IFERROR(INDEX('INVENTORY MASTER'!$Q$4:$Q$63,MATCH($A31,'INVENTORY MASTER'!$A$4:$A$63,0)),""))</f>
        <v/>
      </c>
      <c r="P31" s="24" t="str">
        <f aca="false">IF($A31="","",IFERROR(INDEX('INVENTORY MASTER'!$R$4:$R$63,MATCH($A31,'INVENTORY MASTER'!$A$4:$A$63,0)),""))</f>
        <v/>
      </c>
      <c r="Q31" s="18"/>
      <c r="R31" s="18"/>
      <c r="S31" s="18"/>
      <c r="T31" s="24" t="str">
        <f aca="false">IF($A31="","",IFERROR(INDEX('INVENTORY MASTER'!$S$4:$S$63,MATCH($A31,'INVENTORY MASTER'!$A$4:$A$63,0)),""))</f>
        <v/>
      </c>
      <c r="U31" s="21" t="str">
        <f aca="false">IF($A31="","",IFERROR(INDEX('INVENTORY MASTER'!$AI$4:$AI$63,MATCH($A31,'INVENTORY MASTER'!$A$4:$A$63,0)),""))</f>
        <v/>
      </c>
      <c r="V31" s="22" t="str">
        <f aca="false">IF(OR($A31="",E31="",E31=0),"",U31/E31)</f>
        <v/>
      </c>
      <c r="W31" s="21" t="str">
        <f aca="false">IF($A31="","",IFERROR(INDEX('INVENTORY MASTER'!$AM$4:$AM$63,MATCH($A31,'INVENTORY MASTER'!$A$4:$A$63,0)),""))</f>
        <v/>
      </c>
      <c r="X31" s="21" t="str">
        <f aca="false">IF($A31="","",IFERROR(INDEX('INVENTORY MASTER'!$AO$4:$AO$63,MATCH($A31,'INVENTORY MASTER'!$A$4:$A$63,0)),""))</f>
        <v/>
      </c>
      <c r="Y31" s="24" t="str">
        <f aca="false">IF($A31="","",IFERROR(INDEX('INVENTORY MASTER'!$AS$4:$AS$63,MATCH($A31,'INVENTORY MASTER'!$A$4:$A$63,0)),""))</f>
        <v/>
      </c>
      <c r="Z31" s="24" t="str">
        <f aca="false">IF($A31="","",IFERROR(INDEX('INVENTORY MASTER'!$AR$4:$AR$63,MATCH($A31,'INVENTORY MASTER'!$A$4:$A$63,0)),""))</f>
        <v/>
      </c>
      <c r="AA31" s="18"/>
    </row>
    <row r="32" customFormat="false" ht="15" hidden="false" customHeight="false" outlineLevel="0" collapsed="false">
      <c r="A32" s="18"/>
      <c r="B32" s="24" t="str">
        <f aca="false">IF($A32="","",IFERROR(INDEX('INVENTORY MASTER'!$F$4:$F$63,MATCH($A32,'INVENTORY MASTER'!$A$4:$A$63,0)),""))</f>
        <v/>
      </c>
      <c r="C32" s="24" t="str">
        <f aca="false">IF($A32="","",IFERROR(INDEX('INVENTORY MASTER'!$L$4:$L$63,MATCH($A32,'INVENTORY MASTER'!$A$4:$A$63,0)),""))</f>
        <v/>
      </c>
      <c r="D32" s="24" t="str">
        <f aca="false">IF($A32="","",IFERROR(INDEX('INVENTORY MASTER'!$M$4:$M$63,MATCH($A32,'INVENTORY MASTER'!$A$4:$A$63,0)),""))</f>
        <v/>
      </c>
      <c r="E32" s="25" t="str">
        <f aca="false">IF($A32="","",IFERROR(INDEX('INVENTORY MASTER'!$N$4:$N$63,MATCH($A32,'INVENTORY MASTER'!$A$4:$A$63,0)),""))</f>
        <v/>
      </c>
      <c r="F32" s="22"/>
      <c r="G32" s="22" t="str">
        <f aca="false">IF(OR($A32="",E32="",F32=""),"",E32*F32)</f>
        <v/>
      </c>
      <c r="H32" s="24" t="str">
        <f aca="false">IF($A32="","",IFERROR(INDEX('INVENTORY MASTER'!$O$4:$O$63,MATCH($A32,'INVENTORY MASTER'!$A$4:$A$63,0)),""))</f>
        <v/>
      </c>
      <c r="I32" s="25" t="str">
        <f aca="false">IF($A32="","",IFERROR(INDEX('INVENTORY MASTER'!$P$4:$P$63,MATCH($A32,'INVENTORY MASTER'!$A$4:$A$63,0)),""))</f>
        <v/>
      </c>
      <c r="J32" s="22"/>
      <c r="K32" s="26"/>
      <c r="L32" s="22" t="str">
        <f aca="false">IF(OR(G32="",K32=""),"",(G32+N(J32))*(1+K32))</f>
        <v/>
      </c>
      <c r="M32" s="26"/>
      <c r="N32" s="22" t="str">
        <f aca="false">IF(OR(G32="",M32=""),"",(G32+N(J32))*(1+M32))</f>
        <v/>
      </c>
      <c r="O32" s="24" t="str">
        <f aca="false">IF($A32="","",IFERROR(INDEX('INVENTORY MASTER'!$Q$4:$Q$63,MATCH($A32,'INVENTORY MASTER'!$A$4:$A$63,0)),""))</f>
        <v/>
      </c>
      <c r="P32" s="24" t="str">
        <f aca="false">IF($A32="","",IFERROR(INDEX('INVENTORY MASTER'!$R$4:$R$63,MATCH($A32,'INVENTORY MASTER'!$A$4:$A$63,0)),""))</f>
        <v/>
      </c>
      <c r="Q32" s="18"/>
      <c r="R32" s="18"/>
      <c r="S32" s="18"/>
      <c r="T32" s="24" t="str">
        <f aca="false">IF($A32="","",IFERROR(INDEX('INVENTORY MASTER'!$S$4:$S$63,MATCH($A32,'INVENTORY MASTER'!$A$4:$A$63,0)),""))</f>
        <v/>
      </c>
      <c r="U32" s="21" t="str">
        <f aca="false">IF($A32="","",IFERROR(INDEX('INVENTORY MASTER'!$AI$4:$AI$63,MATCH($A32,'INVENTORY MASTER'!$A$4:$A$63,0)),""))</f>
        <v/>
      </c>
      <c r="V32" s="22" t="str">
        <f aca="false">IF(OR($A32="",E32="",E32=0),"",U32/E32)</f>
        <v/>
      </c>
      <c r="W32" s="21" t="str">
        <f aca="false">IF($A32="","",IFERROR(INDEX('INVENTORY MASTER'!$AM$4:$AM$63,MATCH($A32,'INVENTORY MASTER'!$A$4:$A$63,0)),""))</f>
        <v/>
      </c>
      <c r="X32" s="21" t="str">
        <f aca="false">IF($A32="","",IFERROR(INDEX('INVENTORY MASTER'!$AO$4:$AO$63,MATCH($A32,'INVENTORY MASTER'!$A$4:$A$63,0)),""))</f>
        <v/>
      </c>
      <c r="Y32" s="24" t="str">
        <f aca="false">IF($A32="","",IFERROR(INDEX('INVENTORY MASTER'!$AS$4:$AS$63,MATCH($A32,'INVENTORY MASTER'!$A$4:$A$63,0)),""))</f>
        <v/>
      </c>
      <c r="Z32" s="24" t="str">
        <f aca="false">IF($A32="","",IFERROR(INDEX('INVENTORY MASTER'!$AR$4:$AR$63,MATCH($A32,'INVENTORY MASTER'!$A$4:$A$63,0)),""))</f>
        <v/>
      </c>
      <c r="AA32" s="18"/>
    </row>
    <row r="33" customFormat="false" ht="15" hidden="false" customHeight="false" outlineLevel="0" collapsed="false">
      <c r="A33" s="18"/>
      <c r="B33" s="24" t="str">
        <f aca="false">IF($A33="","",IFERROR(INDEX('INVENTORY MASTER'!$F$4:$F$63,MATCH($A33,'INVENTORY MASTER'!$A$4:$A$63,0)),""))</f>
        <v/>
      </c>
      <c r="C33" s="24" t="str">
        <f aca="false">IF($A33="","",IFERROR(INDEX('INVENTORY MASTER'!$L$4:$L$63,MATCH($A33,'INVENTORY MASTER'!$A$4:$A$63,0)),""))</f>
        <v/>
      </c>
      <c r="D33" s="24" t="str">
        <f aca="false">IF($A33="","",IFERROR(INDEX('INVENTORY MASTER'!$M$4:$M$63,MATCH($A33,'INVENTORY MASTER'!$A$4:$A$63,0)),""))</f>
        <v/>
      </c>
      <c r="E33" s="25" t="str">
        <f aca="false">IF($A33="","",IFERROR(INDEX('INVENTORY MASTER'!$N$4:$N$63,MATCH($A33,'INVENTORY MASTER'!$A$4:$A$63,0)),""))</f>
        <v/>
      </c>
      <c r="F33" s="22"/>
      <c r="G33" s="22" t="str">
        <f aca="false">IF(OR($A33="",E33="",F33=""),"",E33*F33)</f>
        <v/>
      </c>
      <c r="H33" s="24" t="str">
        <f aca="false">IF($A33="","",IFERROR(INDEX('INVENTORY MASTER'!$O$4:$O$63,MATCH($A33,'INVENTORY MASTER'!$A$4:$A$63,0)),""))</f>
        <v/>
      </c>
      <c r="I33" s="25" t="str">
        <f aca="false">IF($A33="","",IFERROR(INDEX('INVENTORY MASTER'!$P$4:$P$63,MATCH($A33,'INVENTORY MASTER'!$A$4:$A$63,0)),""))</f>
        <v/>
      </c>
      <c r="J33" s="22"/>
      <c r="K33" s="26"/>
      <c r="L33" s="22" t="str">
        <f aca="false">IF(OR(G33="",K33=""),"",(G33+N(J33))*(1+K33))</f>
        <v/>
      </c>
      <c r="M33" s="26"/>
      <c r="N33" s="22" t="str">
        <f aca="false">IF(OR(G33="",M33=""),"",(G33+N(J33))*(1+M33))</f>
        <v/>
      </c>
      <c r="O33" s="24" t="str">
        <f aca="false">IF($A33="","",IFERROR(INDEX('INVENTORY MASTER'!$Q$4:$Q$63,MATCH($A33,'INVENTORY MASTER'!$A$4:$A$63,0)),""))</f>
        <v/>
      </c>
      <c r="P33" s="24" t="str">
        <f aca="false">IF($A33="","",IFERROR(INDEX('INVENTORY MASTER'!$R$4:$R$63,MATCH($A33,'INVENTORY MASTER'!$A$4:$A$63,0)),""))</f>
        <v/>
      </c>
      <c r="Q33" s="18"/>
      <c r="R33" s="18"/>
      <c r="S33" s="18"/>
      <c r="T33" s="24" t="str">
        <f aca="false">IF($A33="","",IFERROR(INDEX('INVENTORY MASTER'!$S$4:$S$63,MATCH($A33,'INVENTORY MASTER'!$A$4:$A$63,0)),""))</f>
        <v/>
      </c>
      <c r="U33" s="21" t="str">
        <f aca="false">IF($A33="","",IFERROR(INDEX('INVENTORY MASTER'!$AI$4:$AI$63,MATCH($A33,'INVENTORY MASTER'!$A$4:$A$63,0)),""))</f>
        <v/>
      </c>
      <c r="V33" s="22" t="str">
        <f aca="false">IF(OR($A33="",E33="",E33=0),"",U33/E33)</f>
        <v/>
      </c>
      <c r="W33" s="21" t="str">
        <f aca="false">IF($A33="","",IFERROR(INDEX('INVENTORY MASTER'!$AM$4:$AM$63,MATCH($A33,'INVENTORY MASTER'!$A$4:$A$63,0)),""))</f>
        <v/>
      </c>
      <c r="X33" s="21" t="str">
        <f aca="false">IF($A33="","",IFERROR(INDEX('INVENTORY MASTER'!$AO$4:$AO$63,MATCH($A33,'INVENTORY MASTER'!$A$4:$A$63,0)),""))</f>
        <v/>
      </c>
      <c r="Y33" s="24" t="str">
        <f aca="false">IF($A33="","",IFERROR(INDEX('INVENTORY MASTER'!$AS$4:$AS$63,MATCH($A33,'INVENTORY MASTER'!$A$4:$A$63,0)),""))</f>
        <v/>
      </c>
      <c r="Z33" s="24" t="str">
        <f aca="false">IF($A33="","",IFERROR(INDEX('INVENTORY MASTER'!$AR$4:$AR$63,MATCH($A33,'INVENTORY MASTER'!$A$4:$A$63,0)),""))</f>
        <v/>
      </c>
      <c r="AA33" s="18"/>
    </row>
    <row r="34" customFormat="false" ht="15" hidden="false" customHeight="false" outlineLevel="0" collapsed="false">
      <c r="A34" s="18"/>
      <c r="B34" s="24" t="str">
        <f aca="false">IF($A34="","",IFERROR(INDEX('INVENTORY MASTER'!$F$4:$F$63,MATCH($A34,'INVENTORY MASTER'!$A$4:$A$63,0)),""))</f>
        <v/>
      </c>
      <c r="C34" s="24" t="str">
        <f aca="false">IF($A34="","",IFERROR(INDEX('INVENTORY MASTER'!$L$4:$L$63,MATCH($A34,'INVENTORY MASTER'!$A$4:$A$63,0)),""))</f>
        <v/>
      </c>
      <c r="D34" s="24" t="str">
        <f aca="false">IF($A34="","",IFERROR(INDEX('INVENTORY MASTER'!$M$4:$M$63,MATCH($A34,'INVENTORY MASTER'!$A$4:$A$63,0)),""))</f>
        <v/>
      </c>
      <c r="E34" s="25" t="str">
        <f aca="false">IF($A34="","",IFERROR(INDEX('INVENTORY MASTER'!$N$4:$N$63,MATCH($A34,'INVENTORY MASTER'!$A$4:$A$63,0)),""))</f>
        <v/>
      </c>
      <c r="F34" s="22"/>
      <c r="G34" s="22" t="str">
        <f aca="false">IF(OR($A34="",E34="",F34=""),"",E34*F34)</f>
        <v/>
      </c>
      <c r="H34" s="24" t="str">
        <f aca="false">IF($A34="","",IFERROR(INDEX('INVENTORY MASTER'!$O$4:$O$63,MATCH($A34,'INVENTORY MASTER'!$A$4:$A$63,0)),""))</f>
        <v/>
      </c>
      <c r="I34" s="25" t="str">
        <f aca="false">IF($A34="","",IFERROR(INDEX('INVENTORY MASTER'!$P$4:$P$63,MATCH($A34,'INVENTORY MASTER'!$A$4:$A$63,0)),""))</f>
        <v/>
      </c>
      <c r="J34" s="22"/>
      <c r="K34" s="26"/>
      <c r="L34" s="22" t="str">
        <f aca="false">IF(OR(G34="",K34=""),"",(G34+N(J34))*(1+K34))</f>
        <v/>
      </c>
      <c r="M34" s="26"/>
      <c r="N34" s="22" t="str">
        <f aca="false">IF(OR(G34="",M34=""),"",(G34+N(J34))*(1+M34))</f>
        <v/>
      </c>
      <c r="O34" s="24" t="str">
        <f aca="false">IF($A34="","",IFERROR(INDEX('INVENTORY MASTER'!$Q$4:$Q$63,MATCH($A34,'INVENTORY MASTER'!$A$4:$A$63,0)),""))</f>
        <v/>
      </c>
      <c r="P34" s="24" t="str">
        <f aca="false">IF($A34="","",IFERROR(INDEX('INVENTORY MASTER'!$R$4:$R$63,MATCH($A34,'INVENTORY MASTER'!$A$4:$A$63,0)),""))</f>
        <v/>
      </c>
      <c r="Q34" s="18"/>
      <c r="R34" s="18"/>
      <c r="S34" s="18"/>
      <c r="T34" s="24" t="str">
        <f aca="false">IF($A34="","",IFERROR(INDEX('INVENTORY MASTER'!$S$4:$S$63,MATCH($A34,'INVENTORY MASTER'!$A$4:$A$63,0)),""))</f>
        <v/>
      </c>
      <c r="U34" s="21" t="str">
        <f aca="false">IF($A34="","",IFERROR(INDEX('INVENTORY MASTER'!$AI$4:$AI$63,MATCH($A34,'INVENTORY MASTER'!$A$4:$A$63,0)),""))</f>
        <v/>
      </c>
      <c r="V34" s="22" t="str">
        <f aca="false">IF(OR($A34="",E34="",E34=0),"",U34/E34)</f>
        <v/>
      </c>
      <c r="W34" s="21" t="str">
        <f aca="false">IF($A34="","",IFERROR(INDEX('INVENTORY MASTER'!$AM$4:$AM$63,MATCH($A34,'INVENTORY MASTER'!$A$4:$A$63,0)),""))</f>
        <v/>
      </c>
      <c r="X34" s="21" t="str">
        <f aca="false">IF($A34="","",IFERROR(INDEX('INVENTORY MASTER'!$AO$4:$AO$63,MATCH($A34,'INVENTORY MASTER'!$A$4:$A$63,0)),""))</f>
        <v/>
      </c>
      <c r="Y34" s="24" t="str">
        <f aca="false">IF($A34="","",IFERROR(INDEX('INVENTORY MASTER'!$AS$4:$AS$63,MATCH($A34,'INVENTORY MASTER'!$A$4:$A$63,0)),""))</f>
        <v/>
      </c>
      <c r="Z34" s="24" t="str">
        <f aca="false">IF($A34="","",IFERROR(INDEX('INVENTORY MASTER'!$AR$4:$AR$63,MATCH($A34,'INVENTORY MASTER'!$A$4:$A$63,0)),""))</f>
        <v/>
      </c>
      <c r="AA34" s="18"/>
    </row>
    <row r="35" customFormat="false" ht="15" hidden="false" customHeight="false" outlineLevel="0" collapsed="false">
      <c r="A35" s="18"/>
      <c r="B35" s="24" t="str">
        <f aca="false">IF($A35="","",IFERROR(INDEX('INVENTORY MASTER'!$F$4:$F$63,MATCH($A35,'INVENTORY MASTER'!$A$4:$A$63,0)),""))</f>
        <v/>
      </c>
      <c r="C35" s="24" t="str">
        <f aca="false">IF($A35="","",IFERROR(INDEX('INVENTORY MASTER'!$L$4:$L$63,MATCH($A35,'INVENTORY MASTER'!$A$4:$A$63,0)),""))</f>
        <v/>
      </c>
      <c r="D35" s="24" t="str">
        <f aca="false">IF($A35="","",IFERROR(INDEX('INVENTORY MASTER'!$M$4:$M$63,MATCH($A35,'INVENTORY MASTER'!$A$4:$A$63,0)),""))</f>
        <v/>
      </c>
      <c r="E35" s="25" t="str">
        <f aca="false">IF($A35="","",IFERROR(INDEX('INVENTORY MASTER'!$N$4:$N$63,MATCH($A35,'INVENTORY MASTER'!$A$4:$A$63,0)),""))</f>
        <v/>
      </c>
      <c r="F35" s="22"/>
      <c r="G35" s="22" t="str">
        <f aca="false">IF(OR($A35="",E35="",F35=""),"",E35*F35)</f>
        <v/>
      </c>
      <c r="H35" s="24" t="str">
        <f aca="false">IF($A35="","",IFERROR(INDEX('INVENTORY MASTER'!$O$4:$O$63,MATCH($A35,'INVENTORY MASTER'!$A$4:$A$63,0)),""))</f>
        <v/>
      </c>
      <c r="I35" s="25" t="str">
        <f aca="false">IF($A35="","",IFERROR(INDEX('INVENTORY MASTER'!$P$4:$P$63,MATCH($A35,'INVENTORY MASTER'!$A$4:$A$63,0)),""))</f>
        <v/>
      </c>
      <c r="J35" s="22"/>
      <c r="K35" s="26"/>
      <c r="L35" s="22" t="str">
        <f aca="false">IF(OR(G35="",K35=""),"",(G35+N(J35))*(1+K35))</f>
        <v/>
      </c>
      <c r="M35" s="26"/>
      <c r="N35" s="22" t="str">
        <f aca="false">IF(OR(G35="",M35=""),"",(G35+N(J35))*(1+M35))</f>
        <v/>
      </c>
      <c r="O35" s="24" t="str">
        <f aca="false">IF($A35="","",IFERROR(INDEX('INVENTORY MASTER'!$Q$4:$Q$63,MATCH($A35,'INVENTORY MASTER'!$A$4:$A$63,0)),""))</f>
        <v/>
      </c>
      <c r="P35" s="24" t="str">
        <f aca="false">IF($A35="","",IFERROR(INDEX('INVENTORY MASTER'!$R$4:$R$63,MATCH($A35,'INVENTORY MASTER'!$A$4:$A$63,0)),""))</f>
        <v/>
      </c>
      <c r="Q35" s="18"/>
      <c r="R35" s="18"/>
      <c r="S35" s="18"/>
      <c r="T35" s="24" t="str">
        <f aca="false">IF($A35="","",IFERROR(INDEX('INVENTORY MASTER'!$S$4:$S$63,MATCH($A35,'INVENTORY MASTER'!$A$4:$A$63,0)),""))</f>
        <v/>
      </c>
      <c r="U35" s="21" t="str">
        <f aca="false">IF($A35="","",IFERROR(INDEX('INVENTORY MASTER'!$AI$4:$AI$63,MATCH($A35,'INVENTORY MASTER'!$A$4:$A$63,0)),""))</f>
        <v/>
      </c>
      <c r="V35" s="22" t="str">
        <f aca="false">IF(OR($A35="",E35="",E35=0),"",U35/E35)</f>
        <v/>
      </c>
      <c r="W35" s="21" t="str">
        <f aca="false">IF($A35="","",IFERROR(INDEX('INVENTORY MASTER'!$AM$4:$AM$63,MATCH($A35,'INVENTORY MASTER'!$A$4:$A$63,0)),""))</f>
        <v/>
      </c>
      <c r="X35" s="21" t="str">
        <f aca="false">IF($A35="","",IFERROR(INDEX('INVENTORY MASTER'!$AO$4:$AO$63,MATCH($A35,'INVENTORY MASTER'!$A$4:$A$63,0)),""))</f>
        <v/>
      </c>
      <c r="Y35" s="24" t="str">
        <f aca="false">IF($A35="","",IFERROR(INDEX('INVENTORY MASTER'!$AS$4:$AS$63,MATCH($A35,'INVENTORY MASTER'!$A$4:$A$63,0)),""))</f>
        <v/>
      </c>
      <c r="Z35" s="24" t="str">
        <f aca="false">IF($A35="","",IFERROR(INDEX('INVENTORY MASTER'!$AR$4:$AR$63,MATCH($A35,'INVENTORY MASTER'!$A$4:$A$63,0)),""))</f>
        <v/>
      </c>
      <c r="AA35" s="18"/>
    </row>
    <row r="36" customFormat="false" ht="15" hidden="false" customHeight="false" outlineLevel="0" collapsed="false">
      <c r="A36" s="18"/>
      <c r="B36" s="24" t="str">
        <f aca="false">IF($A36="","",IFERROR(INDEX('INVENTORY MASTER'!$F$4:$F$63,MATCH($A36,'INVENTORY MASTER'!$A$4:$A$63,0)),""))</f>
        <v/>
      </c>
      <c r="C36" s="24" t="str">
        <f aca="false">IF($A36="","",IFERROR(INDEX('INVENTORY MASTER'!$L$4:$L$63,MATCH($A36,'INVENTORY MASTER'!$A$4:$A$63,0)),""))</f>
        <v/>
      </c>
      <c r="D36" s="24" t="str">
        <f aca="false">IF($A36="","",IFERROR(INDEX('INVENTORY MASTER'!$M$4:$M$63,MATCH($A36,'INVENTORY MASTER'!$A$4:$A$63,0)),""))</f>
        <v/>
      </c>
      <c r="E36" s="25" t="str">
        <f aca="false">IF($A36="","",IFERROR(INDEX('INVENTORY MASTER'!$N$4:$N$63,MATCH($A36,'INVENTORY MASTER'!$A$4:$A$63,0)),""))</f>
        <v/>
      </c>
      <c r="F36" s="22"/>
      <c r="G36" s="22" t="str">
        <f aca="false">IF(OR($A36="",E36="",F36=""),"",E36*F36)</f>
        <v/>
      </c>
      <c r="H36" s="24" t="str">
        <f aca="false">IF($A36="","",IFERROR(INDEX('INVENTORY MASTER'!$O$4:$O$63,MATCH($A36,'INVENTORY MASTER'!$A$4:$A$63,0)),""))</f>
        <v/>
      </c>
      <c r="I36" s="25" t="str">
        <f aca="false">IF($A36="","",IFERROR(INDEX('INVENTORY MASTER'!$P$4:$P$63,MATCH($A36,'INVENTORY MASTER'!$A$4:$A$63,0)),""))</f>
        <v/>
      </c>
      <c r="J36" s="22"/>
      <c r="K36" s="26"/>
      <c r="L36" s="22" t="str">
        <f aca="false">IF(OR(G36="",K36=""),"",(G36+N(J36))*(1+K36))</f>
        <v/>
      </c>
      <c r="M36" s="26"/>
      <c r="N36" s="22" t="str">
        <f aca="false">IF(OR(G36="",M36=""),"",(G36+N(J36))*(1+M36))</f>
        <v/>
      </c>
      <c r="O36" s="24" t="str">
        <f aca="false">IF($A36="","",IFERROR(INDEX('INVENTORY MASTER'!$Q$4:$Q$63,MATCH($A36,'INVENTORY MASTER'!$A$4:$A$63,0)),""))</f>
        <v/>
      </c>
      <c r="P36" s="24" t="str">
        <f aca="false">IF($A36="","",IFERROR(INDEX('INVENTORY MASTER'!$R$4:$R$63,MATCH($A36,'INVENTORY MASTER'!$A$4:$A$63,0)),""))</f>
        <v/>
      </c>
      <c r="Q36" s="18"/>
      <c r="R36" s="18"/>
      <c r="S36" s="18"/>
      <c r="T36" s="24" t="str">
        <f aca="false">IF($A36="","",IFERROR(INDEX('INVENTORY MASTER'!$S$4:$S$63,MATCH($A36,'INVENTORY MASTER'!$A$4:$A$63,0)),""))</f>
        <v/>
      </c>
      <c r="U36" s="21" t="str">
        <f aca="false">IF($A36="","",IFERROR(INDEX('INVENTORY MASTER'!$AI$4:$AI$63,MATCH($A36,'INVENTORY MASTER'!$A$4:$A$63,0)),""))</f>
        <v/>
      </c>
      <c r="V36" s="22" t="str">
        <f aca="false">IF(OR($A36="",E36="",E36=0),"",U36/E36)</f>
        <v/>
      </c>
      <c r="W36" s="21" t="str">
        <f aca="false">IF($A36="","",IFERROR(INDEX('INVENTORY MASTER'!$AM$4:$AM$63,MATCH($A36,'INVENTORY MASTER'!$A$4:$A$63,0)),""))</f>
        <v/>
      </c>
      <c r="X36" s="21" t="str">
        <f aca="false">IF($A36="","",IFERROR(INDEX('INVENTORY MASTER'!$AO$4:$AO$63,MATCH($A36,'INVENTORY MASTER'!$A$4:$A$63,0)),""))</f>
        <v/>
      </c>
      <c r="Y36" s="24" t="str">
        <f aca="false">IF($A36="","",IFERROR(INDEX('INVENTORY MASTER'!$AS$4:$AS$63,MATCH($A36,'INVENTORY MASTER'!$A$4:$A$63,0)),""))</f>
        <v/>
      </c>
      <c r="Z36" s="24" t="str">
        <f aca="false">IF($A36="","",IFERROR(INDEX('INVENTORY MASTER'!$AR$4:$AR$63,MATCH($A36,'INVENTORY MASTER'!$A$4:$A$63,0)),""))</f>
        <v/>
      </c>
      <c r="AA36" s="18"/>
    </row>
    <row r="37" customFormat="false" ht="15" hidden="false" customHeight="false" outlineLevel="0" collapsed="false">
      <c r="A37" s="18"/>
      <c r="B37" s="24" t="str">
        <f aca="false">IF($A37="","",IFERROR(INDEX('INVENTORY MASTER'!$F$4:$F$63,MATCH($A37,'INVENTORY MASTER'!$A$4:$A$63,0)),""))</f>
        <v/>
      </c>
      <c r="C37" s="24" t="str">
        <f aca="false">IF($A37="","",IFERROR(INDEX('INVENTORY MASTER'!$L$4:$L$63,MATCH($A37,'INVENTORY MASTER'!$A$4:$A$63,0)),""))</f>
        <v/>
      </c>
      <c r="D37" s="24" t="str">
        <f aca="false">IF($A37="","",IFERROR(INDEX('INVENTORY MASTER'!$M$4:$M$63,MATCH($A37,'INVENTORY MASTER'!$A$4:$A$63,0)),""))</f>
        <v/>
      </c>
      <c r="E37" s="25" t="str">
        <f aca="false">IF($A37="","",IFERROR(INDEX('INVENTORY MASTER'!$N$4:$N$63,MATCH($A37,'INVENTORY MASTER'!$A$4:$A$63,0)),""))</f>
        <v/>
      </c>
      <c r="F37" s="22"/>
      <c r="G37" s="22" t="str">
        <f aca="false">IF(OR($A37="",E37="",F37=""),"",E37*F37)</f>
        <v/>
      </c>
      <c r="H37" s="24" t="str">
        <f aca="false">IF($A37="","",IFERROR(INDEX('INVENTORY MASTER'!$O$4:$O$63,MATCH($A37,'INVENTORY MASTER'!$A$4:$A$63,0)),""))</f>
        <v/>
      </c>
      <c r="I37" s="25" t="str">
        <f aca="false">IF($A37="","",IFERROR(INDEX('INVENTORY MASTER'!$P$4:$P$63,MATCH($A37,'INVENTORY MASTER'!$A$4:$A$63,0)),""))</f>
        <v/>
      </c>
      <c r="J37" s="22"/>
      <c r="K37" s="26"/>
      <c r="L37" s="22" t="str">
        <f aca="false">IF(OR(G37="",K37=""),"",(G37+N(J37))*(1+K37))</f>
        <v/>
      </c>
      <c r="M37" s="26"/>
      <c r="N37" s="22" t="str">
        <f aca="false">IF(OR(G37="",M37=""),"",(G37+N(J37))*(1+M37))</f>
        <v/>
      </c>
      <c r="O37" s="24" t="str">
        <f aca="false">IF($A37="","",IFERROR(INDEX('INVENTORY MASTER'!$Q$4:$Q$63,MATCH($A37,'INVENTORY MASTER'!$A$4:$A$63,0)),""))</f>
        <v/>
      </c>
      <c r="P37" s="24" t="str">
        <f aca="false">IF($A37="","",IFERROR(INDEX('INVENTORY MASTER'!$R$4:$R$63,MATCH($A37,'INVENTORY MASTER'!$A$4:$A$63,0)),""))</f>
        <v/>
      </c>
      <c r="Q37" s="18"/>
      <c r="R37" s="18"/>
      <c r="S37" s="18"/>
      <c r="T37" s="24" t="str">
        <f aca="false">IF($A37="","",IFERROR(INDEX('INVENTORY MASTER'!$S$4:$S$63,MATCH($A37,'INVENTORY MASTER'!$A$4:$A$63,0)),""))</f>
        <v/>
      </c>
      <c r="U37" s="21" t="str">
        <f aca="false">IF($A37="","",IFERROR(INDEX('INVENTORY MASTER'!$AI$4:$AI$63,MATCH($A37,'INVENTORY MASTER'!$A$4:$A$63,0)),""))</f>
        <v/>
      </c>
      <c r="V37" s="22" t="str">
        <f aca="false">IF(OR($A37="",E37="",E37=0),"",U37/E37)</f>
        <v/>
      </c>
      <c r="W37" s="21" t="str">
        <f aca="false">IF($A37="","",IFERROR(INDEX('INVENTORY MASTER'!$AM$4:$AM$63,MATCH($A37,'INVENTORY MASTER'!$A$4:$A$63,0)),""))</f>
        <v/>
      </c>
      <c r="X37" s="21" t="str">
        <f aca="false">IF($A37="","",IFERROR(INDEX('INVENTORY MASTER'!$AO$4:$AO$63,MATCH($A37,'INVENTORY MASTER'!$A$4:$A$63,0)),""))</f>
        <v/>
      </c>
      <c r="Y37" s="24" t="str">
        <f aca="false">IF($A37="","",IFERROR(INDEX('INVENTORY MASTER'!$AS$4:$AS$63,MATCH($A37,'INVENTORY MASTER'!$A$4:$A$63,0)),""))</f>
        <v/>
      </c>
      <c r="Z37" s="24" t="str">
        <f aca="false">IF($A37="","",IFERROR(INDEX('INVENTORY MASTER'!$AR$4:$AR$63,MATCH($A37,'INVENTORY MASTER'!$A$4:$A$63,0)),""))</f>
        <v/>
      </c>
      <c r="AA37" s="18"/>
    </row>
    <row r="38" customFormat="false" ht="15" hidden="false" customHeight="false" outlineLevel="0" collapsed="false">
      <c r="A38" s="18"/>
      <c r="B38" s="24" t="str">
        <f aca="false">IF($A38="","",IFERROR(INDEX('INVENTORY MASTER'!$F$4:$F$63,MATCH($A38,'INVENTORY MASTER'!$A$4:$A$63,0)),""))</f>
        <v/>
      </c>
      <c r="C38" s="24" t="str">
        <f aca="false">IF($A38="","",IFERROR(INDEX('INVENTORY MASTER'!$L$4:$L$63,MATCH($A38,'INVENTORY MASTER'!$A$4:$A$63,0)),""))</f>
        <v/>
      </c>
      <c r="D38" s="24" t="str">
        <f aca="false">IF($A38="","",IFERROR(INDEX('INVENTORY MASTER'!$M$4:$M$63,MATCH($A38,'INVENTORY MASTER'!$A$4:$A$63,0)),""))</f>
        <v/>
      </c>
      <c r="E38" s="25" t="str">
        <f aca="false">IF($A38="","",IFERROR(INDEX('INVENTORY MASTER'!$N$4:$N$63,MATCH($A38,'INVENTORY MASTER'!$A$4:$A$63,0)),""))</f>
        <v/>
      </c>
      <c r="F38" s="22"/>
      <c r="G38" s="22" t="str">
        <f aca="false">IF(OR($A38="",E38="",F38=""),"",E38*F38)</f>
        <v/>
      </c>
      <c r="H38" s="24" t="str">
        <f aca="false">IF($A38="","",IFERROR(INDEX('INVENTORY MASTER'!$O$4:$O$63,MATCH($A38,'INVENTORY MASTER'!$A$4:$A$63,0)),""))</f>
        <v/>
      </c>
      <c r="I38" s="25" t="str">
        <f aca="false">IF($A38="","",IFERROR(INDEX('INVENTORY MASTER'!$P$4:$P$63,MATCH($A38,'INVENTORY MASTER'!$A$4:$A$63,0)),""))</f>
        <v/>
      </c>
      <c r="J38" s="22"/>
      <c r="K38" s="26"/>
      <c r="L38" s="22" t="str">
        <f aca="false">IF(OR(G38="",K38=""),"",(G38+N(J38))*(1+K38))</f>
        <v/>
      </c>
      <c r="M38" s="26"/>
      <c r="N38" s="22" t="str">
        <f aca="false">IF(OR(G38="",M38=""),"",(G38+N(J38))*(1+M38))</f>
        <v/>
      </c>
      <c r="O38" s="24" t="str">
        <f aca="false">IF($A38="","",IFERROR(INDEX('INVENTORY MASTER'!$Q$4:$Q$63,MATCH($A38,'INVENTORY MASTER'!$A$4:$A$63,0)),""))</f>
        <v/>
      </c>
      <c r="P38" s="24" t="str">
        <f aca="false">IF($A38="","",IFERROR(INDEX('INVENTORY MASTER'!$R$4:$R$63,MATCH($A38,'INVENTORY MASTER'!$A$4:$A$63,0)),""))</f>
        <v/>
      </c>
      <c r="Q38" s="18"/>
      <c r="R38" s="18"/>
      <c r="S38" s="18"/>
      <c r="T38" s="24" t="str">
        <f aca="false">IF($A38="","",IFERROR(INDEX('INVENTORY MASTER'!$S$4:$S$63,MATCH($A38,'INVENTORY MASTER'!$A$4:$A$63,0)),""))</f>
        <v/>
      </c>
      <c r="U38" s="21" t="str">
        <f aca="false">IF($A38="","",IFERROR(INDEX('INVENTORY MASTER'!$AI$4:$AI$63,MATCH($A38,'INVENTORY MASTER'!$A$4:$A$63,0)),""))</f>
        <v/>
      </c>
      <c r="V38" s="22" t="str">
        <f aca="false">IF(OR($A38="",E38="",E38=0),"",U38/E38)</f>
        <v/>
      </c>
      <c r="W38" s="21" t="str">
        <f aca="false">IF($A38="","",IFERROR(INDEX('INVENTORY MASTER'!$AM$4:$AM$63,MATCH($A38,'INVENTORY MASTER'!$A$4:$A$63,0)),""))</f>
        <v/>
      </c>
      <c r="X38" s="21" t="str">
        <f aca="false">IF($A38="","",IFERROR(INDEX('INVENTORY MASTER'!$AO$4:$AO$63,MATCH($A38,'INVENTORY MASTER'!$A$4:$A$63,0)),""))</f>
        <v/>
      </c>
      <c r="Y38" s="24" t="str">
        <f aca="false">IF($A38="","",IFERROR(INDEX('INVENTORY MASTER'!$AS$4:$AS$63,MATCH($A38,'INVENTORY MASTER'!$A$4:$A$63,0)),""))</f>
        <v/>
      </c>
      <c r="Z38" s="24" t="str">
        <f aca="false">IF($A38="","",IFERROR(INDEX('INVENTORY MASTER'!$AR$4:$AR$63,MATCH($A38,'INVENTORY MASTER'!$A$4:$A$63,0)),""))</f>
        <v/>
      </c>
      <c r="AA38" s="18"/>
    </row>
    <row r="39" customFormat="false" ht="15" hidden="false" customHeight="false" outlineLevel="0" collapsed="false">
      <c r="A39" s="18"/>
      <c r="B39" s="24" t="str">
        <f aca="false">IF($A39="","",IFERROR(INDEX('INVENTORY MASTER'!$F$4:$F$63,MATCH($A39,'INVENTORY MASTER'!$A$4:$A$63,0)),""))</f>
        <v/>
      </c>
      <c r="C39" s="24" t="str">
        <f aca="false">IF($A39="","",IFERROR(INDEX('INVENTORY MASTER'!$L$4:$L$63,MATCH($A39,'INVENTORY MASTER'!$A$4:$A$63,0)),""))</f>
        <v/>
      </c>
      <c r="D39" s="24" t="str">
        <f aca="false">IF($A39="","",IFERROR(INDEX('INVENTORY MASTER'!$M$4:$M$63,MATCH($A39,'INVENTORY MASTER'!$A$4:$A$63,0)),""))</f>
        <v/>
      </c>
      <c r="E39" s="25" t="str">
        <f aca="false">IF($A39="","",IFERROR(INDEX('INVENTORY MASTER'!$N$4:$N$63,MATCH($A39,'INVENTORY MASTER'!$A$4:$A$63,0)),""))</f>
        <v/>
      </c>
      <c r="F39" s="22"/>
      <c r="G39" s="22" t="str">
        <f aca="false">IF(OR($A39="",E39="",F39=""),"",E39*F39)</f>
        <v/>
      </c>
      <c r="H39" s="24" t="str">
        <f aca="false">IF($A39="","",IFERROR(INDEX('INVENTORY MASTER'!$O$4:$O$63,MATCH($A39,'INVENTORY MASTER'!$A$4:$A$63,0)),""))</f>
        <v/>
      </c>
      <c r="I39" s="25" t="str">
        <f aca="false">IF($A39="","",IFERROR(INDEX('INVENTORY MASTER'!$P$4:$P$63,MATCH($A39,'INVENTORY MASTER'!$A$4:$A$63,0)),""))</f>
        <v/>
      </c>
      <c r="J39" s="22"/>
      <c r="K39" s="26"/>
      <c r="L39" s="22" t="str">
        <f aca="false">IF(OR(G39="",K39=""),"",(G39+N(J39))*(1+K39))</f>
        <v/>
      </c>
      <c r="M39" s="26"/>
      <c r="N39" s="22" t="str">
        <f aca="false">IF(OR(G39="",M39=""),"",(G39+N(J39))*(1+M39))</f>
        <v/>
      </c>
      <c r="O39" s="24" t="str">
        <f aca="false">IF($A39="","",IFERROR(INDEX('INVENTORY MASTER'!$Q$4:$Q$63,MATCH($A39,'INVENTORY MASTER'!$A$4:$A$63,0)),""))</f>
        <v/>
      </c>
      <c r="P39" s="24" t="str">
        <f aca="false">IF($A39="","",IFERROR(INDEX('INVENTORY MASTER'!$R$4:$R$63,MATCH($A39,'INVENTORY MASTER'!$A$4:$A$63,0)),""))</f>
        <v/>
      </c>
      <c r="Q39" s="18"/>
      <c r="R39" s="18"/>
      <c r="S39" s="18"/>
      <c r="T39" s="24" t="str">
        <f aca="false">IF($A39="","",IFERROR(INDEX('INVENTORY MASTER'!$S$4:$S$63,MATCH($A39,'INVENTORY MASTER'!$A$4:$A$63,0)),""))</f>
        <v/>
      </c>
      <c r="U39" s="21" t="str">
        <f aca="false">IF($A39="","",IFERROR(INDEX('INVENTORY MASTER'!$AI$4:$AI$63,MATCH($A39,'INVENTORY MASTER'!$A$4:$A$63,0)),""))</f>
        <v/>
      </c>
      <c r="V39" s="22" t="str">
        <f aca="false">IF(OR($A39="",E39="",E39=0),"",U39/E39)</f>
        <v/>
      </c>
      <c r="W39" s="21" t="str">
        <f aca="false">IF($A39="","",IFERROR(INDEX('INVENTORY MASTER'!$AM$4:$AM$63,MATCH($A39,'INVENTORY MASTER'!$A$4:$A$63,0)),""))</f>
        <v/>
      </c>
      <c r="X39" s="21" t="str">
        <f aca="false">IF($A39="","",IFERROR(INDEX('INVENTORY MASTER'!$AO$4:$AO$63,MATCH($A39,'INVENTORY MASTER'!$A$4:$A$63,0)),""))</f>
        <v/>
      </c>
      <c r="Y39" s="24" t="str">
        <f aca="false">IF($A39="","",IFERROR(INDEX('INVENTORY MASTER'!$AS$4:$AS$63,MATCH($A39,'INVENTORY MASTER'!$A$4:$A$63,0)),""))</f>
        <v/>
      </c>
      <c r="Z39" s="24" t="str">
        <f aca="false">IF($A39="","",IFERROR(INDEX('INVENTORY MASTER'!$AR$4:$AR$63,MATCH($A39,'INVENTORY MASTER'!$A$4:$A$63,0)),""))</f>
        <v/>
      </c>
      <c r="AA39" s="18"/>
    </row>
    <row r="40" customFormat="false" ht="15" hidden="false" customHeight="false" outlineLevel="0" collapsed="false">
      <c r="A40" s="18"/>
      <c r="B40" s="24" t="str">
        <f aca="false">IF($A40="","",IFERROR(INDEX('INVENTORY MASTER'!$F$4:$F$63,MATCH($A40,'INVENTORY MASTER'!$A$4:$A$63,0)),""))</f>
        <v/>
      </c>
      <c r="C40" s="24" t="str">
        <f aca="false">IF($A40="","",IFERROR(INDEX('INVENTORY MASTER'!$L$4:$L$63,MATCH($A40,'INVENTORY MASTER'!$A$4:$A$63,0)),""))</f>
        <v/>
      </c>
      <c r="D40" s="24" t="str">
        <f aca="false">IF($A40="","",IFERROR(INDEX('INVENTORY MASTER'!$M$4:$M$63,MATCH($A40,'INVENTORY MASTER'!$A$4:$A$63,0)),""))</f>
        <v/>
      </c>
      <c r="E40" s="25" t="str">
        <f aca="false">IF($A40="","",IFERROR(INDEX('INVENTORY MASTER'!$N$4:$N$63,MATCH($A40,'INVENTORY MASTER'!$A$4:$A$63,0)),""))</f>
        <v/>
      </c>
      <c r="F40" s="22"/>
      <c r="G40" s="22" t="str">
        <f aca="false">IF(OR($A40="",E40="",F40=""),"",E40*F40)</f>
        <v/>
      </c>
      <c r="H40" s="24" t="str">
        <f aca="false">IF($A40="","",IFERROR(INDEX('INVENTORY MASTER'!$O$4:$O$63,MATCH($A40,'INVENTORY MASTER'!$A$4:$A$63,0)),""))</f>
        <v/>
      </c>
      <c r="I40" s="25" t="str">
        <f aca="false">IF($A40="","",IFERROR(INDEX('INVENTORY MASTER'!$P$4:$P$63,MATCH($A40,'INVENTORY MASTER'!$A$4:$A$63,0)),""))</f>
        <v/>
      </c>
      <c r="J40" s="22"/>
      <c r="K40" s="26"/>
      <c r="L40" s="22" t="str">
        <f aca="false">IF(OR(G40="",K40=""),"",(G40+N(J40))*(1+K40))</f>
        <v/>
      </c>
      <c r="M40" s="26"/>
      <c r="N40" s="22" t="str">
        <f aca="false">IF(OR(G40="",M40=""),"",(G40+N(J40))*(1+M40))</f>
        <v/>
      </c>
      <c r="O40" s="24" t="str">
        <f aca="false">IF($A40="","",IFERROR(INDEX('INVENTORY MASTER'!$Q$4:$Q$63,MATCH($A40,'INVENTORY MASTER'!$A$4:$A$63,0)),""))</f>
        <v/>
      </c>
      <c r="P40" s="24" t="str">
        <f aca="false">IF($A40="","",IFERROR(INDEX('INVENTORY MASTER'!$R$4:$R$63,MATCH($A40,'INVENTORY MASTER'!$A$4:$A$63,0)),""))</f>
        <v/>
      </c>
      <c r="Q40" s="18"/>
      <c r="R40" s="18"/>
      <c r="S40" s="18"/>
      <c r="T40" s="24" t="str">
        <f aca="false">IF($A40="","",IFERROR(INDEX('INVENTORY MASTER'!$S$4:$S$63,MATCH($A40,'INVENTORY MASTER'!$A$4:$A$63,0)),""))</f>
        <v/>
      </c>
      <c r="U40" s="21" t="str">
        <f aca="false">IF($A40="","",IFERROR(INDEX('INVENTORY MASTER'!$AI$4:$AI$63,MATCH($A40,'INVENTORY MASTER'!$A$4:$A$63,0)),""))</f>
        <v/>
      </c>
      <c r="V40" s="22" t="str">
        <f aca="false">IF(OR($A40="",E40="",E40=0),"",U40/E40)</f>
        <v/>
      </c>
      <c r="W40" s="21" t="str">
        <f aca="false">IF($A40="","",IFERROR(INDEX('INVENTORY MASTER'!$AM$4:$AM$63,MATCH($A40,'INVENTORY MASTER'!$A$4:$A$63,0)),""))</f>
        <v/>
      </c>
      <c r="X40" s="21" t="str">
        <f aca="false">IF($A40="","",IFERROR(INDEX('INVENTORY MASTER'!$AO$4:$AO$63,MATCH($A40,'INVENTORY MASTER'!$A$4:$A$63,0)),""))</f>
        <v/>
      </c>
      <c r="Y40" s="24" t="str">
        <f aca="false">IF($A40="","",IFERROR(INDEX('INVENTORY MASTER'!$AS$4:$AS$63,MATCH($A40,'INVENTORY MASTER'!$A$4:$A$63,0)),""))</f>
        <v/>
      </c>
      <c r="Z40" s="24" t="str">
        <f aca="false">IF($A40="","",IFERROR(INDEX('INVENTORY MASTER'!$AR$4:$AR$63,MATCH($A40,'INVENTORY MASTER'!$A$4:$A$63,0)),""))</f>
        <v/>
      </c>
      <c r="AA40" s="18"/>
    </row>
    <row r="41" customFormat="false" ht="15" hidden="false" customHeight="false" outlineLevel="0" collapsed="false">
      <c r="A41" s="18"/>
      <c r="B41" s="24" t="str">
        <f aca="false">IF($A41="","",IFERROR(INDEX('INVENTORY MASTER'!$F$4:$F$63,MATCH($A41,'INVENTORY MASTER'!$A$4:$A$63,0)),""))</f>
        <v/>
      </c>
      <c r="C41" s="24" t="str">
        <f aca="false">IF($A41="","",IFERROR(INDEX('INVENTORY MASTER'!$L$4:$L$63,MATCH($A41,'INVENTORY MASTER'!$A$4:$A$63,0)),""))</f>
        <v/>
      </c>
      <c r="D41" s="24" t="str">
        <f aca="false">IF($A41="","",IFERROR(INDEX('INVENTORY MASTER'!$M$4:$M$63,MATCH($A41,'INVENTORY MASTER'!$A$4:$A$63,0)),""))</f>
        <v/>
      </c>
      <c r="E41" s="25" t="str">
        <f aca="false">IF($A41="","",IFERROR(INDEX('INVENTORY MASTER'!$N$4:$N$63,MATCH($A41,'INVENTORY MASTER'!$A$4:$A$63,0)),""))</f>
        <v/>
      </c>
      <c r="F41" s="22"/>
      <c r="G41" s="22" t="str">
        <f aca="false">IF(OR($A41="",E41="",F41=""),"",E41*F41)</f>
        <v/>
      </c>
      <c r="H41" s="24" t="str">
        <f aca="false">IF($A41="","",IFERROR(INDEX('INVENTORY MASTER'!$O$4:$O$63,MATCH($A41,'INVENTORY MASTER'!$A$4:$A$63,0)),""))</f>
        <v/>
      </c>
      <c r="I41" s="25" t="str">
        <f aca="false">IF($A41="","",IFERROR(INDEX('INVENTORY MASTER'!$P$4:$P$63,MATCH($A41,'INVENTORY MASTER'!$A$4:$A$63,0)),""))</f>
        <v/>
      </c>
      <c r="J41" s="22"/>
      <c r="K41" s="26"/>
      <c r="L41" s="22" t="str">
        <f aca="false">IF(OR(G41="",K41=""),"",(G41+N(J41))*(1+K41))</f>
        <v/>
      </c>
      <c r="M41" s="26"/>
      <c r="N41" s="22" t="str">
        <f aca="false">IF(OR(G41="",M41=""),"",(G41+N(J41))*(1+M41))</f>
        <v/>
      </c>
      <c r="O41" s="24" t="str">
        <f aca="false">IF($A41="","",IFERROR(INDEX('INVENTORY MASTER'!$Q$4:$Q$63,MATCH($A41,'INVENTORY MASTER'!$A$4:$A$63,0)),""))</f>
        <v/>
      </c>
      <c r="P41" s="24" t="str">
        <f aca="false">IF($A41="","",IFERROR(INDEX('INVENTORY MASTER'!$R$4:$R$63,MATCH($A41,'INVENTORY MASTER'!$A$4:$A$63,0)),""))</f>
        <v/>
      </c>
      <c r="Q41" s="18"/>
      <c r="R41" s="18"/>
      <c r="S41" s="18"/>
      <c r="T41" s="24" t="str">
        <f aca="false">IF($A41="","",IFERROR(INDEX('INVENTORY MASTER'!$S$4:$S$63,MATCH($A41,'INVENTORY MASTER'!$A$4:$A$63,0)),""))</f>
        <v/>
      </c>
      <c r="U41" s="21" t="str">
        <f aca="false">IF($A41="","",IFERROR(INDEX('INVENTORY MASTER'!$AI$4:$AI$63,MATCH($A41,'INVENTORY MASTER'!$A$4:$A$63,0)),""))</f>
        <v/>
      </c>
      <c r="V41" s="22" t="str">
        <f aca="false">IF(OR($A41="",E41="",E41=0),"",U41/E41)</f>
        <v/>
      </c>
      <c r="W41" s="21" t="str">
        <f aca="false">IF($A41="","",IFERROR(INDEX('INVENTORY MASTER'!$AM$4:$AM$63,MATCH($A41,'INVENTORY MASTER'!$A$4:$A$63,0)),""))</f>
        <v/>
      </c>
      <c r="X41" s="21" t="str">
        <f aca="false">IF($A41="","",IFERROR(INDEX('INVENTORY MASTER'!$AO$4:$AO$63,MATCH($A41,'INVENTORY MASTER'!$A$4:$A$63,0)),""))</f>
        <v/>
      </c>
      <c r="Y41" s="24" t="str">
        <f aca="false">IF($A41="","",IFERROR(INDEX('INVENTORY MASTER'!$AS$4:$AS$63,MATCH($A41,'INVENTORY MASTER'!$A$4:$A$63,0)),""))</f>
        <v/>
      </c>
      <c r="Z41" s="24" t="str">
        <f aca="false">IF($A41="","",IFERROR(INDEX('INVENTORY MASTER'!$AR$4:$AR$63,MATCH($A41,'INVENTORY MASTER'!$A$4:$A$63,0)),""))</f>
        <v/>
      </c>
      <c r="AA41" s="18"/>
    </row>
    <row r="42" customFormat="false" ht="15" hidden="false" customHeight="false" outlineLevel="0" collapsed="false">
      <c r="A42" s="18"/>
      <c r="B42" s="24" t="str">
        <f aca="false">IF($A42="","",IFERROR(INDEX('INVENTORY MASTER'!$F$4:$F$63,MATCH($A42,'INVENTORY MASTER'!$A$4:$A$63,0)),""))</f>
        <v/>
      </c>
      <c r="C42" s="24" t="str">
        <f aca="false">IF($A42="","",IFERROR(INDEX('INVENTORY MASTER'!$L$4:$L$63,MATCH($A42,'INVENTORY MASTER'!$A$4:$A$63,0)),""))</f>
        <v/>
      </c>
      <c r="D42" s="24" t="str">
        <f aca="false">IF($A42="","",IFERROR(INDEX('INVENTORY MASTER'!$M$4:$M$63,MATCH($A42,'INVENTORY MASTER'!$A$4:$A$63,0)),""))</f>
        <v/>
      </c>
      <c r="E42" s="25" t="str">
        <f aca="false">IF($A42="","",IFERROR(INDEX('INVENTORY MASTER'!$N$4:$N$63,MATCH($A42,'INVENTORY MASTER'!$A$4:$A$63,0)),""))</f>
        <v/>
      </c>
      <c r="F42" s="22"/>
      <c r="G42" s="22" t="str">
        <f aca="false">IF(OR($A42="",E42="",F42=""),"",E42*F42)</f>
        <v/>
      </c>
      <c r="H42" s="24" t="str">
        <f aca="false">IF($A42="","",IFERROR(INDEX('INVENTORY MASTER'!$O$4:$O$63,MATCH($A42,'INVENTORY MASTER'!$A$4:$A$63,0)),""))</f>
        <v/>
      </c>
      <c r="I42" s="25" t="str">
        <f aca="false">IF($A42="","",IFERROR(INDEX('INVENTORY MASTER'!$P$4:$P$63,MATCH($A42,'INVENTORY MASTER'!$A$4:$A$63,0)),""))</f>
        <v/>
      </c>
      <c r="J42" s="22"/>
      <c r="K42" s="26"/>
      <c r="L42" s="22" t="str">
        <f aca="false">IF(OR(G42="",K42=""),"",(G42+N(J42))*(1+K42))</f>
        <v/>
      </c>
      <c r="M42" s="26"/>
      <c r="N42" s="22" t="str">
        <f aca="false">IF(OR(G42="",M42=""),"",(G42+N(J42))*(1+M42))</f>
        <v/>
      </c>
      <c r="O42" s="24" t="str">
        <f aca="false">IF($A42="","",IFERROR(INDEX('INVENTORY MASTER'!$Q$4:$Q$63,MATCH($A42,'INVENTORY MASTER'!$A$4:$A$63,0)),""))</f>
        <v/>
      </c>
      <c r="P42" s="24" t="str">
        <f aca="false">IF($A42="","",IFERROR(INDEX('INVENTORY MASTER'!$R$4:$R$63,MATCH($A42,'INVENTORY MASTER'!$A$4:$A$63,0)),""))</f>
        <v/>
      </c>
      <c r="Q42" s="18"/>
      <c r="R42" s="18"/>
      <c r="S42" s="18"/>
      <c r="T42" s="24" t="str">
        <f aca="false">IF($A42="","",IFERROR(INDEX('INVENTORY MASTER'!$S$4:$S$63,MATCH($A42,'INVENTORY MASTER'!$A$4:$A$63,0)),""))</f>
        <v/>
      </c>
      <c r="U42" s="21" t="str">
        <f aca="false">IF($A42="","",IFERROR(INDEX('INVENTORY MASTER'!$AI$4:$AI$63,MATCH($A42,'INVENTORY MASTER'!$A$4:$A$63,0)),""))</f>
        <v/>
      </c>
      <c r="V42" s="22" t="str">
        <f aca="false">IF(OR($A42="",E42="",E42=0),"",U42/E42)</f>
        <v/>
      </c>
      <c r="W42" s="21" t="str">
        <f aca="false">IF($A42="","",IFERROR(INDEX('INVENTORY MASTER'!$AM$4:$AM$63,MATCH($A42,'INVENTORY MASTER'!$A$4:$A$63,0)),""))</f>
        <v/>
      </c>
      <c r="X42" s="21" t="str">
        <f aca="false">IF($A42="","",IFERROR(INDEX('INVENTORY MASTER'!$AO$4:$AO$63,MATCH($A42,'INVENTORY MASTER'!$A$4:$A$63,0)),""))</f>
        <v/>
      </c>
      <c r="Y42" s="24" t="str">
        <f aca="false">IF($A42="","",IFERROR(INDEX('INVENTORY MASTER'!$AS$4:$AS$63,MATCH($A42,'INVENTORY MASTER'!$A$4:$A$63,0)),""))</f>
        <v/>
      </c>
      <c r="Z42" s="24" t="str">
        <f aca="false">IF($A42="","",IFERROR(INDEX('INVENTORY MASTER'!$AR$4:$AR$63,MATCH($A42,'INVENTORY MASTER'!$A$4:$A$63,0)),""))</f>
        <v/>
      </c>
      <c r="AA42" s="18"/>
    </row>
    <row r="43" customFormat="false" ht="15" hidden="false" customHeight="false" outlineLevel="0" collapsed="false">
      <c r="A43" s="18"/>
      <c r="B43" s="24" t="str">
        <f aca="false">IF($A43="","",IFERROR(INDEX('INVENTORY MASTER'!$F$4:$F$63,MATCH($A43,'INVENTORY MASTER'!$A$4:$A$63,0)),""))</f>
        <v/>
      </c>
      <c r="C43" s="24" t="str">
        <f aca="false">IF($A43="","",IFERROR(INDEX('INVENTORY MASTER'!$L$4:$L$63,MATCH($A43,'INVENTORY MASTER'!$A$4:$A$63,0)),""))</f>
        <v/>
      </c>
      <c r="D43" s="24" t="str">
        <f aca="false">IF($A43="","",IFERROR(INDEX('INVENTORY MASTER'!$M$4:$M$63,MATCH($A43,'INVENTORY MASTER'!$A$4:$A$63,0)),""))</f>
        <v/>
      </c>
      <c r="E43" s="25" t="str">
        <f aca="false">IF($A43="","",IFERROR(INDEX('INVENTORY MASTER'!$N$4:$N$63,MATCH($A43,'INVENTORY MASTER'!$A$4:$A$63,0)),""))</f>
        <v/>
      </c>
      <c r="F43" s="22"/>
      <c r="G43" s="22" t="str">
        <f aca="false">IF(OR($A43="",E43="",F43=""),"",E43*F43)</f>
        <v/>
      </c>
      <c r="H43" s="24" t="str">
        <f aca="false">IF($A43="","",IFERROR(INDEX('INVENTORY MASTER'!$O$4:$O$63,MATCH($A43,'INVENTORY MASTER'!$A$4:$A$63,0)),""))</f>
        <v/>
      </c>
      <c r="I43" s="25" t="str">
        <f aca="false">IF($A43="","",IFERROR(INDEX('INVENTORY MASTER'!$P$4:$P$63,MATCH($A43,'INVENTORY MASTER'!$A$4:$A$63,0)),""))</f>
        <v/>
      </c>
      <c r="J43" s="22"/>
      <c r="K43" s="26"/>
      <c r="L43" s="22" t="str">
        <f aca="false">IF(OR(G43="",K43=""),"",(G43+N(J43))*(1+K43))</f>
        <v/>
      </c>
      <c r="M43" s="26"/>
      <c r="N43" s="22" t="str">
        <f aca="false">IF(OR(G43="",M43=""),"",(G43+N(J43))*(1+M43))</f>
        <v/>
      </c>
      <c r="O43" s="24" t="str">
        <f aca="false">IF($A43="","",IFERROR(INDEX('INVENTORY MASTER'!$Q$4:$Q$63,MATCH($A43,'INVENTORY MASTER'!$A$4:$A$63,0)),""))</f>
        <v/>
      </c>
      <c r="P43" s="24" t="str">
        <f aca="false">IF($A43="","",IFERROR(INDEX('INVENTORY MASTER'!$R$4:$R$63,MATCH($A43,'INVENTORY MASTER'!$A$4:$A$63,0)),""))</f>
        <v/>
      </c>
      <c r="Q43" s="18"/>
      <c r="R43" s="18"/>
      <c r="S43" s="18"/>
      <c r="T43" s="24" t="str">
        <f aca="false">IF($A43="","",IFERROR(INDEX('INVENTORY MASTER'!$S$4:$S$63,MATCH($A43,'INVENTORY MASTER'!$A$4:$A$63,0)),""))</f>
        <v/>
      </c>
      <c r="U43" s="21" t="str">
        <f aca="false">IF($A43="","",IFERROR(INDEX('INVENTORY MASTER'!$AI$4:$AI$63,MATCH($A43,'INVENTORY MASTER'!$A$4:$A$63,0)),""))</f>
        <v/>
      </c>
      <c r="V43" s="22" t="str">
        <f aca="false">IF(OR($A43="",E43="",E43=0),"",U43/E43)</f>
        <v/>
      </c>
      <c r="W43" s="21" t="str">
        <f aca="false">IF($A43="","",IFERROR(INDEX('INVENTORY MASTER'!$AM$4:$AM$63,MATCH($A43,'INVENTORY MASTER'!$A$4:$A$63,0)),""))</f>
        <v/>
      </c>
      <c r="X43" s="21" t="str">
        <f aca="false">IF($A43="","",IFERROR(INDEX('INVENTORY MASTER'!$AO$4:$AO$63,MATCH($A43,'INVENTORY MASTER'!$A$4:$A$63,0)),""))</f>
        <v/>
      </c>
      <c r="Y43" s="24" t="str">
        <f aca="false">IF($A43="","",IFERROR(INDEX('INVENTORY MASTER'!$AS$4:$AS$63,MATCH($A43,'INVENTORY MASTER'!$A$4:$A$63,0)),""))</f>
        <v/>
      </c>
      <c r="Z43" s="24" t="str">
        <f aca="false">IF($A43="","",IFERROR(INDEX('INVENTORY MASTER'!$AR$4:$AR$63,MATCH($A43,'INVENTORY MASTER'!$A$4:$A$63,0)),""))</f>
        <v/>
      </c>
      <c r="AA43" s="18"/>
    </row>
  </sheetData>
  <sheetProtection sheet="true" password="c7e9" objects="true" scenarios="true" sort="false" autoFilter="false"/>
  <mergeCells count="2">
    <mergeCell ref="A1:AA1"/>
    <mergeCell ref="A2:AA2"/>
  </mergeCells>
  <dataValidations count="1">
    <dataValidation allowBlank="true" errorStyle="stop" operator="between" showDropDown="false" showErrorMessage="false" showInputMessage="false" sqref="A4:A43" type="list">
      <formula1>'INVENTORY MASTER'!$A$4:$A$63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6" min="5" style="0" width="13"/>
    <col collapsed="false" customWidth="true" hidden="false" outlineLevel="0" max="7" min="7" style="0" width="18"/>
    <col collapsed="false" customWidth="true" hidden="false" outlineLevel="0" max="24" min="8" style="0" width="13"/>
    <col collapsed="false" customWidth="true" hidden="false" outlineLevel="0" max="25" min="25" style="0" width="26"/>
  </cols>
  <sheetData>
    <row r="1" customFormat="false" ht="30" hidden="false" customHeight="true" outlineLevel="0" collapsed="false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.75" hidden="false" customHeight="true" outlineLevel="0" collapsed="false">
      <c r="A2" s="2" t="s">
        <v>359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27.75" hidden="false" customHeight="true" outlineLevel="0" collapsed="false">
      <c r="A3" s="15" t="s">
        <v>360</v>
      </c>
      <c r="B3" s="15" t="s">
        <v>361</v>
      </c>
      <c r="C3" s="15" t="s">
        <v>169</v>
      </c>
      <c r="D3" s="15" t="s">
        <v>362</v>
      </c>
      <c r="E3" s="15" t="s">
        <v>56</v>
      </c>
      <c r="F3" s="15" t="s">
        <v>217</v>
      </c>
      <c r="G3" s="15" t="s">
        <v>363</v>
      </c>
      <c r="H3" s="15" t="s">
        <v>364</v>
      </c>
      <c r="I3" s="15" t="s">
        <v>365</v>
      </c>
      <c r="J3" s="15" t="s">
        <v>366</v>
      </c>
      <c r="K3" s="15" t="s">
        <v>367</v>
      </c>
      <c r="L3" s="15" t="s">
        <v>368</v>
      </c>
      <c r="M3" s="15" t="s">
        <v>369</v>
      </c>
      <c r="N3" s="15" t="s">
        <v>55</v>
      </c>
      <c r="O3" s="15" t="s">
        <v>370</v>
      </c>
      <c r="P3" s="15" t="s">
        <v>371</v>
      </c>
      <c r="Q3" s="15" t="s">
        <v>219</v>
      </c>
      <c r="R3" s="15" t="s">
        <v>372</v>
      </c>
      <c r="S3" s="15" t="s">
        <v>373</v>
      </c>
      <c r="T3" s="15" t="s">
        <v>374</v>
      </c>
      <c r="U3" s="15" t="s">
        <v>375</v>
      </c>
      <c r="V3" s="15" t="s">
        <v>376</v>
      </c>
      <c r="W3" s="15" t="s">
        <v>377</v>
      </c>
      <c r="X3" s="15" t="s">
        <v>378</v>
      </c>
      <c r="Y3" s="15" t="s">
        <v>221</v>
      </c>
    </row>
    <row r="4" customFormat="false" ht="23.85" hidden="false" customHeight="false" outlineLevel="0" collapsed="false">
      <c r="A4" s="18" t="s">
        <v>379</v>
      </c>
      <c r="B4" s="17" t="n">
        <v>46063</v>
      </c>
      <c r="C4" s="18" t="s">
        <v>222</v>
      </c>
      <c r="D4" s="24" t="str">
        <f aca="false">IF($C4="","",IFERROR(INDEX('INVENTORY MASTER'!$K$4:$K$63,MATCH($C4,'INVENTORY MASTER'!$A$4:$A$63,0)),""))</f>
        <v>Rolex Submariner Date 41mm, black dial</v>
      </c>
      <c r="E4" s="24" t="str">
        <f aca="false">IF($C4="","",IFERROR(INDEX('INVENTORY MASTER'!$E$4:$E$63,MATCH($C4,'INVENTORY MASTER'!$A$4:$A$63,0)),""))</f>
        <v>Watch</v>
      </c>
      <c r="F4" s="18" t="s">
        <v>62</v>
      </c>
      <c r="G4" s="18" t="s">
        <v>380</v>
      </c>
      <c r="H4" s="18" t="s">
        <v>242</v>
      </c>
      <c r="I4" s="21" t="n">
        <f aca="false">IF($C4="","",IFERROR(INDEX('INVENTORY MASTER'!$AI$4:$AI$63,MATCH($C4,'INVENTORY MASTER'!$A$4:$A$63,0)),""))</f>
        <v>8100</v>
      </c>
      <c r="J4" s="21" t="n">
        <f aca="false">IF($C4="","",IFERROR(INDEX('INVENTORY MASTER'!$AO$4:$AO$63,MATCH($C4,'INVENTORY MASTER'!$A$4:$A$63,0)),""))</f>
        <v>10500</v>
      </c>
      <c r="K4" s="22" t="n">
        <v>10200</v>
      </c>
      <c r="L4" s="21" t="n">
        <f aca="false">IF(OR($J4="",$K4=""),"",$J4-$K4)</f>
        <v>300</v>
      </c>
      <c r="M4" s="23" t="n">
        <f aca="false">IF(OR($J4="",$L4="",$J4=0),"",$L4/$J4)</f>
        <v>0.0285714285714286</v>
      </c>
      <c r="N4" s="21" t="n">
        <f aca="false">IF(OR($K4="",$I4=""),"",$K4-$I4)</f>
        <v>2100</v>
      </c>
      <c r="O4" s="23" t="n">
        <f aca="false">IF(OR($K4="",$K4=0,$N4=""),"",$N4/$K4)</f>
        <v>0.205882352941176</v>
      </c>
      <c r="P4" s="18" t="s">
        <v>381</v>
      </c>
      <c r="Q4" s="18" t="s">
        <v>243</v>
      </c>
      <c r="R4" s="22" t="n">
        <v>2000</v>
      </c>
      <c r="S4" s="22" t="n">
        <v>8200</v>
      </c>
      <c r="T4" s="21" t="n">
        <f aca="false">IF($K4="","",$K4-N($R4)-N($S4))</f>
        <v>0</v>
      </c>
      <c r="U4" s="18" t="s">
        <v>382</v>
      </c>
      <c r="V4" s="18" t="s">
        <v>275</v>
      </c>
      <c r="W4" s="22"/>
      <c r="X4" s="18" t="s">
        <v>275</v>
      </c>
      <c r="Y4" s="18" t="s">
        <v>383</v>
      </c>
    </row>
    <row r="5" customFormat="false" ht="15" hidden="false" customHeight="false" outlineLevel="0" collapsed="false">
      <c r="A5" s="18"/>
      <c r="B5" s="17"/>
      <c r="C5" s="18"/>
      <c r="D5" s="24" t="str">
        <f aca="false">IF($C5="","",IFERROR(INDEX('INVENTORY MASTER'!$K$4:$K$63,MATCH($C5,'INVENTORY MASTER'!$A$4:$A$63,0)),""))</f>
        <v/>
      </c>
      <c r="E5" s="24" t="str">
        <f aca="false">IF($C5="","",IFERROR(INDEX('INVENTORY MASTER'!$E$4:$E$63,MATCH($C5,'INVENTORY MASTER'!$A$4:$A$63,0)),""))</f>
        <v/>
      </c>
      <c r="F5" s="18"/>
      <c r="G5" s="18"/>
      <c r="H5" s="18"/>
      <c r="I5" s="21" t="str">
        <f aca="false">IF($C5="","",IFERROR(INDEX('INVENTORY MASTER'!$AI$4:$AI$63,MATCH($C5,'INVENTORY MASTER'!$A$4:$A$63,0)),""))</f>
        <v/>
      </c>
      <c r="J5" s="21" t="str">
        <f aca="false">IF($C5="","",IFERROR(INDEX('INVENTORY MASTER'!$AO$4:$AO$63,MATCH($C5,'INVENTORY MASTER'!$A$4:$A$63,0)),""))</f>
        <v/>
      </c>
      <c r="K5" s="22"/>
      <c r="L5" s="21" t="str">
        <f aca="false">IF(OR($J5="",$K5=""),"",$J5-$K5)</f>
        <v/>
      </c>
      <c r="M5" s="23" t="str">
        <f aca="false">IF(OR($J5="",$L5="",$J5=0),"",$L5/$J5)</f>
        <v/>
      </c>
      <c r="N5" s="21" t="str">
        <f aca="false">IF(OR($K5="",$I5=""),"",$K5-$I5)</f>
        <v/>
      </c>
      <c r="O5" s="23" t="str">
        <f aca="false">IF(OR($K5="",$K5=0,$N5=""),"",$N5/$K5)</f>
        <v/>
      </c>
      <c r="P5" s="18"/>
      <c r="Q5" s="18"/>
      <c r="R5" s="22"/>
      <c r="S5" s="22"/>
      <c r="T5" s="21" t="str">
        <f aca="false">IF($K5="","",$K5-N($R5)-N($S5))</f>
        <v/>
      </c>
      <c r="U5" s="18"/>
      <c r="V5" s="18"/>
      <c r="W5" s="22"/>
      <c r="X5" s="18"/>
      <c r="Y5" s="18"/>
    </row>
    <row r="6" customFormat="false" ht="15" hidden="false" customHeight="false" outlineLevel="0" collapsed="false">
      <c r="A6" s="18"/>
      <c r="B6" s="17"/>
      <c r="C6" s="18"/>
      <c r="D6" s="24" t="str">
        <f aca="false">IF($C6="","",IFERROR(INDEX('INVENTORY MASTER'!$K$4:$K$63,MATCH($C6,'INVENTORY MASTER'!$A$4:$A$63,0)),""))</f>
        <v/>
      </c>
      <c r="E6" s="24" t="str">
        <f aca="false">IF($C6="","",IFERROR(INDEX('INVENTORY MASTER'!$E$4:$E$63,MATCH($C6,'INVENTORY MASTER'!$A$4:$A$63,0)),""))</f>
        <v/>
      </c>
      <c r="F6" s="18"/>
      <c r="G6" s="18"/>
      <c r="H6" s="18"/>
      <c r="I6" s="21" t="str">
        <f aca="false">IF($C6="","",IFERROR(INDEX('INVENTORY MASTER'!$AI$4:$AI$63,MATCH($C6,'INVENTORY MASTER'!$A$4:$A$63,0)),""))</f>
        <v/>
      </c>
      <c r="J6" s="21" t="str">
        <f aca="false">IF($C6="","",IFERROR(INDEX('INVENTORY MASTER'!$AO$4:$AO$63,MATCH($C6,'INVENTORY MASTER'!$A$4:$A$63,0)),""))</f>
        <v/>
      </c>
      <c r="K6" s="22"/>
      <c r="L6" s="21" t="str">
        <f aca="false">IF(OR($J6="",$K6=""),"",$J6-$K6)</f>
        <v/>
      </c>
      <c r="M6" s="23" t="str">
        <f aca="false">IF(OR($J6="",$L6="",$J6=0),"",$L6/$J6)</f>
        <v/>
      </c>
      <c r="N6" s="21" t="str">
        <f aca="false">IF(OR($K6="",$I6=""),"",$K6-$I6)</f>
        <v/>
      </c>
      <c r="O6" s="23" t="str">
        <f aca="false">IF(OR($K6="",$K6=0,$N6=""),"",$N6/$K6)</f>
        <v/>
      </c>
      <c r="P6" s="18"/>
      <c r="Q6" s="18"/>
      <c r="R6" s="22"/>
      <c r="S6" s="22"/>
      <c r="T6" s="21" t="str">
        <f aca="false">IF($K6="","",$K6-N($R6)-N($S6))</f>
        <v/>
      </c>
      <c r="U6" s="18"/>
      <c r="V6" s="18"/>
      <c r="W6" s="22"/>
      <c r="X6" s="18"/>
      <c r="Y6" s="18"/>
    </row>
    <row r="7" customFormat="false" ht="15" hidden="false" customHeight="false" outlineLevel="0" collapsed="false">
      <c r="A7" s="18"/>
      <c r="B7" s="17"/>
      <c r="C7" s="18"/>
      <c r="D7" s="24" t="str">
        <f aca="false">IF($C7="","",IFERROR(INDEX('INVENTORY MASTER'!$K$4:$K$63,MATCH($C7,'INVENTORY MASTER'!$A$4:$A$63,0)),""))</f>
        <v/>
      </c>
      <c r="E7" s="24" t="str">
        <f aca="false">IF($C7="","",IFERROR(INDEX('INVENTORY MASTER'!$E$4:$E$63,MATCH($C7,'INVENTORY MASTER'!$A$4:$A$63,0)),""))</f>
        <v/>
      </c>
      <c r="F7" s="18"/>
      <c r="G7" s="18"/>
      <c r="H7" s="18"/>
      <c r="I7" s="21" t="str">
        <f aca="false">IF($C7="","",IFERROR(INDEX('INVENTORY MASTER'!$AI$4:$AI$63,MATCH($C7,'INVENTORY MASTER'!$A$4:$A$63,0)),""))</f>
        <v/>
      </c>
      <c r="J7" s="21" t="str">
        <f aca="false">IF($C7="","",IFERROR(INDEX('INVENTORY MASTER'!$AO$4:$AO$63,MATCH($C7,'INVENTORY MASTER'!$A$4:$A$63,0)),""))</f>
        <v/>
      </c>
      <c r="K7" s="22"/>
      <c r="L7" s="21" t="str">
        <f aca="false">IF(OR($J7="",$K7=""),"",$J7-$K7)</f>
        <v/>
      </c>
      <c r="M7" s="23" t="str">
        <f aca="false">IF(OR($J7="",$L7="",$J7=0),"",$L7/$J7)</f>
        <v/>
      </c>
      <c r="N7" s="21" t="str">
        <f aca="false">IF(OR($K7="",$I7=""),"",$K7-$I7)</f>
        <v/>
      </c>
      <c r="O7" s="23" t="str">
        <f aca="false">IF(OR($K7="",$K7=0,$N7=""),"",$N7/$K7)</f>
        <v/>
      </c>
      <c r="P7" s="18"/>
      <c r="Q7" s="18"/>
      <c r="R7" s="22"/>
      <c r="S7" s="22"/>
      <c r="T7" s="21" t="str">
        <f aca="false">IF($K7="","",$K7-N($R7)-N($S7))</f>
        <v/>
      </c>
      <c r="U7" s="18"/>
      <c r="V7" s="18"/>
      <c r="W7" s="22"/>
      <c r="X7" s="18"/>
      <c r="Y7" s="18"/>
    </row>
    <row r="8" customFormat="false" ht="15" hidden="false" customHeight="false" outlineLevel="0" collapsed="false">
      <c r="A8" s="18"/>
      <c r="B8" s="17"/>
      <c r="C8" s="18"/>
      <c r="D8" s="24" t="str">
        <f aca="false">IF($C8="","",IFERROR(INDEX('INVENTORY MASTER'!$K$4:$K$63,MATCH($C8,'INVENTORY MASTER'!$A$4:$A$63,0)),""))</f>
        <v/>
      </c>
      <c r="E8" s="24" t="str">
        <f aca="false">IF($C8="","",IFERROR(INDEX('INVENTORY MASTER'!$E$4:$E$63,MATCH($C8,'INVENTORY MASTER'!$A$4:$A$63,0)),""))</f>
        <v/>
      </c>
      <c r="F8" s="18"/>
      <c r="G8" s="18"/>
      <c r="H8" s="18"/>
      <c r="I8" s="21" t="str">
        <f aca="false">IF($C8="","",IFERROR(INDEX('INVENTORY MASTER'!$AI$4:$AI$63,MATCH($C8,'INVENTORY MASTER'!$A$4:$A$63,0)),""))</f>
        <v/>
      </c>
      <c r="J8" s="21" t="str">
        <f aca="false">IF($C8="","",IFERROR(INDEX('INVENTORY MASTER'!$AO$4:$AO$63,MATCH($C8,'INVENTORY MASTER'!$A$4:$A$63,0)),""))</f>
        <v/>
      </c>
      <c r="K8" s="22"/>
      <c r="L8" s="21" t="str">
        <f aca="false">IF(OR($J8="",$K8=""),"",$J8-$K8)</f>
        <v/>
      </c>
      <c r="M8" s="23" t="str">
        <f aca="false">IF(OR($J8="",$L8="",$J8=0),"",$L8/$J8)</f>
        <v/>
      </c>
      <c r="N8" s="21" t="str">
        <f aca="false">IF(OR($K8="",$I8=""),"",$K8-$I8)</f>
        <v/>
      </c>
      <c r="O8" s="23" t="str">
        <f aca="false">IF(OR($K8="",$K8=0,$N8=""),"",$N8/$K8)</f>
        <v/>
      </c>
      <c r="P8" s="18"/>
      <c r="Q8" s="18"/>
      <c r="R8" s="22"/>
      <c r="S8" s="22"/>
      <c r="T8" s="21" t="str">
        <f aca="false">IF($K8="","",$K8-N($R8)-N($S8))</f>
        <v/>
      </c>
      <c r="U8" s="18"/>
      <c r="V8" s="18"/>
      <c r="W8" s="22"/>
      <c r="X8" s="18"/>
      <c r="Y8" s="18"/>
    </row>
    <row r="9" customFormat="false" ht="15" hidden="false" customHeight="false" outlineLevel="0" collapsed="false">
      <c r="A9" s="18"/>
      <c r="B9" s="17"/>
      <c r="C9" s="18"/>
      <c r="D9" s="24" t="str">
        <f aca="false">IF($C9="","",IFERROR(INDEX('INVENTORY MASTER'!$K$4:$K$63,MATCH($C9,'INVENTORY MASTER'!$A$4:$A$63,0)),""))</f>
        <v/>
      </c>
      <c r="E9" s="24" t="str">
        <f aca="false">IF($C9="","",IFERROR(INDEX('INVENTORY MASTER'!$E$4:$E$63,MATCH($C9,'INVENTORY MASTER'!$A$4:$A$63,0)),""))</f>
        <v/>
      </c>
      <c r="F9" s="18"/>
      <c r="G9" s="18"/>
      <c r="H9" s="18"/>
      <c r="I9" s="21" t="str">
        <f aca="false">IF($C9="","",IFERROR(INDEX('INVENTORY MASTER'!$AI$4:$AI$63,MATCH($C9,'INVENTORY MASTER'!$A$4:$A$63,0)),""))</f>
        <v/>
      </c>
      <c r="J9" s="21" t="str">
        <f aca="false">IF($C9="","",IFERROR(INDEX('INVENTORY MASTER'!$AO$4:$AO$63,MATCH($C9,'INVENTORY MASTER'!$A$4:$A$63,0)),""))</f>
        <v/>
      </c>
      <c r="K9" s="22"/>
      <c r="L9" s="21" t="str">
        <f aca="false">IF(OR($J9="",$K9=""),"",$J9-$K9)</f>
        <v/>
      </c>
      <c r="M9" s="23" t="str">
        <f aca="false">IF(OR($J9="",$L9="",$J9=0),"",$L9/$J9)</f>
        <v/>
      </c>
      <c r="N9" s="21" t="str">
        <f aca="false">IF(OR($K9="",$I9=""),"",$K9-$I9)</f>
        <v/>
      </c>
      <c r="O9" s="23" t="str">
        <f aca="false">IF(OR($K9="",$K9=0,$N9=""),"",$N9/$K9)</f>
        <v/>
      </c>
      <c r="P9" s="18"/>
      <c r="Q9" s="18"/>
      <c r="R9" s="22"/>
      <c r="S9" s="22"/>
      <c r="T9" s="21" t="str">
        <f aca="false">IF($K9="","",$K9-N($R9)-N($S9))</f>
        <v/>
      </c>
      <c r="U9" s="18"/>
      <c r="V9" s="18"/>
      <c r="W9" s="22"/>
      <c r="X9" s="18"/>
      <c r="Y9" s="18"/>
    </row>
    <row r="10" customFormat="false" ht="15" hidden="false" customHeight="false" outlineLevel="0" collapsed="false">
      <c r="A10" s="18"/>
      <c r="B10" s="17"/>
      <c r="C10" s="18"/>
      <c r="D10" s="24" t="str">
        <f aca="false">IF($C10="","",IFERROR(INDEX('INVENTORY MASTER'!$K$4:$K$63,MATCH($C10,'INVENTORY MASTER'!$A$4:$A$63,0)),""))</f>
        <v/>
      </c>
      <c r="E10" s="24" t="str">
        <f aca="false">IF($C10="","",IFERROR(INDEX('INVENTORY MASTER'!$E$4:$E$63,MATCH($C10,'INVENTORY MASTER'!$A$4:$A$63,0)),""))</f>
        <v/>
      </c>
      <c r="F10" s="18"/>
      <c r="G10" s="18"/>
      <c r="H10" s="18"/>
      <c r="I10" s="21" t="str">
        <f aca="false">IF($C10="","",IFERROR(INDEX('INVENTORY MASTER'!$AI$4:$AI$63,MATCH($C10,'INVENTORY MASTER'!$A$4:$A$63,0)),""))</f>
        <v/>
      </c>
      <c r="J10" s="21" t="str">
        <f aca="false">IF($C10="","",IFERROR(INDEX('INVENTORY MASTER'!$AO$4:$AO$63,MATCH($C10,'INVENTORY MASTER'!$A$4:$A$63,0)),""))</f>
        <v/>
      </c>
      <c r="K10" s="22"/>
      <c r="L10" s="21" t="str">
        <f aca="false">IF(OR($J10="",$K10=""),"",$J10-$K10)</f>
        <v/>
      </c>
      <c r="M10" s="23" t="str">
        <f aca="false">IF(OR($J10="",$L10="",$J10=0),"",$L10/$J10)</f>
        <v/>
      </c>
      <c r="N10" s="21" t="str">
        <f aca="false">IF(OR($K10="",$I10=""),"",$K10-$I10)</f>
        <v/>
      </c>
      <c r="O10" s="23" t="str">
        <f aca="false">IF(OR($K10="",$K10=0,$N10=""),"",$N10/$K10)</f>
        <v/>
      </c>
      <c r="P10" s="18"/>
      <c r="Q10" s="18"/>
      <c r="R10" s="22"/>
      <c r="S10" s="22"/>
      <c r="T10" s="21" t="str">
        <f aca="false">IF($K10="","",$K10-N($R10)-N($S10))</f>
        <v/>
      </c>
      <c r="U10" s="18"/>
      <c r="V10" s="18"/>
      <c r="W10" s="22"/>
      <c r="X10" s="18"/>
      <c r="Y10" s="18"/>
    </row>
    <row r="11" customFormat="false" ht="15" hidden="false" customHeight="false" outlineLevel="0" collapsed="false">
      <c r="A11" s="18"/>
      <c r="B11" s="17"/>
      <c r="C11" s="18"/>
      <c r="D11" s="24" t="str">
        <f aca="false">IF($C11="","",IFERROR(INDEX('INVENTORY MASTER'!$K$4:$K$63,MATCH($C11,'INVENTORY MASTER'!$A$4:$A$63,0)),""))</f>
        <v/>
      </c>
      <c r="E11" s="24" t="str">
        <f aca="false">IF($C11="","",IFERROR(INDEX('INVENTORY MASTER'!$E$4:$E$63,MATCH($C11,'INVENTORY MASTER'!$A$4:$A$63,0)),""))</f>
        <v/>
      </c>
      <c r="F11" s="18"/>
      <c r="G11" s="18"/>
      <c r="H11" s="18"/>
      <c r="I11" s="21" t="str">
        <f aca="false">IF($C11="","",IFERROR(INDEX('INVENTORY MASTER'!$AI$4:$AI$63,MATCH($C11,'INVENTORY MASTER'!$A$4:$A$63,0)),""))</f>
        <v/>
      </c>
      <c r="J11" s="21" t="str">
        <f aca="false">IF($C11="","",IFERROR(INDEX('INVENTORY MASTER'!$AO$4:$AO$63,MATCH($C11,'INVENTORY MASTER'!$A$4:$A$63,0)),""))</f>
        <v/>
      </c>
      <c r="K11" s="22"/>
      <c r="L11" s="21" t="str">
        <f aca="false">IF(OR($J11="",$K11=""),"",$J11-$K11)</f>
        <v/>
      </c>
      <c r="M11" s="23" t="str">
        <f aca="false">IF(OR($J11="",$L11="",$J11=0),"",$L11/$J11)</f>
        <v/>
      </c>
      <c r="N11" s="21" t="str">
        <f aca="false">IF(OR($K11="",$I11=""),"",$K11-$I11)</f>
        <v/>
      </c>
      <c r="O11" s="23" t="str">
        <f aca="false">IF(OR($K11="",$K11=0,$N11=""),"",$N11/$K11)</f>
        <v/>
      </c>
      <c r="P11" s="18"/>
      <c r="Q11" s="18"/>
      <c r="R11" s="22"/>
      <c r="S11" s="22"/>
      <c r="T11" s="21" t="str">
        <f aca="false">IF($K11="","",$K11-N($R11)-N($S11))</f>
        <v/>
      </c>
      <c r="U11" s="18"/>
      <c r="V11" s="18"/>
      <c r="W11" s="22"/>
      <c r="X11" s="18"/>
      <c r="Y11" s="18"/>
    </row>
    <row r="12" customFormat="false" ht="15" hidden="false" customHeight="false" outlineLevel="0" collapsed="false">
      <c r="A12" s="18"/>
      <c r="B12" s="17"/>
      <c r="C12" s="18"/>
      <c r="D12" s="24" t="str">
        <f aca="false">IF($C12="","",IFERROR(INDEX('INVENTORY MASTER'!$K$4:$K$63,MATCH($C12,'INVENTORY MASTER'!$A$4:$A$63,0)),""))</f>
        <v/>
      </c>
      <c r="E12" s="24" t="str">
        <f aca="false">IF($C12="","",IFERROR(INDEX('INVENTORY MASTER'!$E$4:$E$63,MATCH($C12,'INVENTORY MASTER'!$A$4:$A$63,0)),""))</f>
        <v/>
      </c>
      <c r="F12" s="18"/>
      <c r="G12" s="18"/>
      <c r="H12" s="18"/>
      <c r="I12" s="21" t="str">
        <f aca="false">IF($C12="","",IFERROR(INDEX('INVENTORY MASTER'!$AI$4:$AI$63,MATCH($C12,'INVENTORY MASTER'!$A$4:$A$63,0)),""))</f>
        <v/>
      </c>
      <c r="J12" s="21" t="str">
        <f aca="false">IF($C12="","",IFERROR(INDEX('INVENTORY MASTER'!$AO$4:$AO$63,MATCH($C12,'INVENTORY MASTER'!$A$4:$A$63,0)),""))</f>
        <v/>
      </c>
      <c r="K12" s="22"/>
      <c r="L12" s="21" t="str">
        <f aca="false">IF(OR($J12="",$K12=""),"",$J12-$K12)</f>
        <v/>
      </c>
      <c r="M12" s="23" t="str">
        <f aca="false">IF(OR($J12="",$L12="",$J12=0),"",$L12/$J12)</f>
        <v/>
      </c>
      <c r="N12" s="21" t="str">
        <f aca="false">IF(OR($K12="",$I12=""),"",$K12-$I12)</f>
        <v/>
      </c>
      <c r="O12" s="23" t="str">
        <f aca="false">IF(OR($K12="",$K12=0,$N12=""),"",$N12/$K12)</f>
        <v/>
      </c>
      <c r="P12" s="18"/>
      <c r="Q12" s="18"/>
      <c r="R12" s="22"/>
      <c r="S12" s="22"/>
      <c r="T12" s="21" t="str">
        <f aca="false">IF($K12="","",$K12-N($R12)-N($S12))</f>
        <v/>
      </c>
      <c r="U12" s="18"/>
      <c r="V12" s="18"/>
      <c r="W12" s="22"/>
      <c r="X12" s="18"/>
      <c r="Y12" s="18"/>
    </row>
    <row r="13" customFormat="false" ht="15" hidden="false" customHeight="false" outlineLevel="0" collapsed="false">
      <c r="A13" s="18"/>
      <c r="B13" s="17"/>
      <c r="C13" s="18"/>
      <c r="D13" s="24" t="str">
        <f aca="false">IF($C13="","",IFERROR(INDEX('INVENTORY MASTER'!$K$4:$K$63,MATCH($C13,'INVENTORY MASTER'!$A$4:$A$63,0)),""))</f>
        <v/>
      </c>
      <c r="E13" s="24" t="str">
        <f aca="false">IF($C13="","",IFERROR(INDEX('INVENTORY MASTER'!$E$4:$E$63,MATCH($C13,'INVENTORY MASTER'!$A$4:$A$63,0)),""))</f>
        <v/>
      </c>
      <c r="F13" s="18"/>
      <c r="G13" s="18"/>
      <c r="H13" s="18"/>
      <c r="I13" s="21" t="str">
        <f aca="false">IF($C13="","",IFERROR(INDEX('INVENTORY MASTER'!$AI$4:$AI$63,MATCH($C13,'INVENTORY MASTER'!$A$4:$A$63,0)),""))</f>
        <v/>
      </c>
      <c r="J13" s="21" t="str">
        <f aca="false">IF($C13="","",IFERROR(INDEX('INVENTORY MASTER'!$AO$4:$AO$63,MATCH($C13,'INVENTORY MASTER'!$A$4:$A$63,0)),""))</f>
        <v/>
      </c>
      <c r="K13" s="22"/>
      <c r="L13" s="21" t="str">
        <f aca="false">IF(OR($J13="",$K13=""),"",$J13-$K13)</f>
        <v/>
      </c>
      <c r="M13" s="23" t="str">
        <f aca="false">IF(OR($J13="",$L13="",$J13=0),"",$L13/$J13)</f>
        <v/>
      </c>
      <c r="N13" s="21" t="str">
        <f aca="false">IF(OR($K13="",$I13=""),"",$K13-$I13)</f>
        <v/>
      </c>
      <c r="O13" s="23" t="str">
        <f aca="false">IF(OR($K13="",$K13=0,$N13=""),"",$N13/$K13)</f>
        <v/>
      </c>
      <c r="P13" s="18"/>
      <c r="Q13" s="18"/>
      <c r="R13" s="22"/>
      <c r="S13" s="22"/>
      <c r="T13" s="21" t="str">
        <f aca="false">IF($K13="","",$K13-N($R13)-N($S13))</f>
        <v/>
      </c>
      <c r="U13" s="18"/>
      <c r="V13" s="18"/>
      <c r="W13" s="22"/>
      <c r="X13" s="18"/>
      <c r="Y13" s="18"/>
    </row>
    <row r="14" customFormat="false" ht="15" hidden="false" customHeight="false" outlineLevel="0" collapsed="false">
      <c r="A14" s="18"/>
      <c r="B14" s="17"/>
      <c r="C14" s="18"/>
      <c r="D14" s="24" t="str">
        <f aca="false">IF($C14="","",IFERROR(INDEX('INVENTORY MASTER'!$K$4:$K$63,MATCH($C14,'INVENTORY MASTER'!$A$4:$A$63,0)),""))</f>
        <v/>
      </c>
      <c r="E14" s="24" t="str">
        <f aca="false">IF($C14="","",IFERROR(INDEX('INVENTORY MASTER'!$E$4:$E$63,MATCH($C14,'INVENTORY MASTER'!$A$4:$A$63,0)),""))</f>
        <v/>
      </c>
      <c r="F14" s="18"/>
      <c r="G14" s="18"/>
      <c r="H14" s="18"/>
      <c r="I14" s="21" t="str">
        <f aca="false">IF($C14="","",IFERROR(INDEX('INVENTORY MASTER'!$AI$4:$AI$63,MATCH($C14,'INVENTORY MASTER'!$A$4:$A$63,0)),""))</f>
        <v/>
      </c>
      <c r="J14" s="21" t="str">
        <f aca="false">IF($C14="","",IFERROR(INDEX('INVENTORY MASTER'!$AO$4:$AO$63,MATCH($C14,'INVENTORY MASTER'!$A$4:$A$63,0)),""))</f>
        <v/>
      </c>
      <c r="K14" s="22"/>
      <c r="L14" s="21" t="str">
        <f aca="false">IF(OR($J14="",$K14=""),"",$J14-$K14)</f>
        <v/>
      </c>
      <c r="M14" s="23" t="str">
        <f aca="false">IF(OR($J14="",$L14="",$J14=0),"",$L14/$J14)</f>
        <v/>
      </c>
      <c r="N14" s="21" t="str">
        <f aca="false">IF(OR($K14="",$I14=""),"",$K14-$I14)</f>
        <v/>
      </c>
      <c r="O14" s="23" t="str">
        <f aca="false">IF(OR($K14="",$K14=0,$N14=""),"",$N14/$K14)</f>
        <v/>
      </c>
      <c r="P14" s="18"/>
      <c r="Q14" s="18"/>
      <c r="R14" s="22"/>
      <c r="S14" s="22"/>
      <c r="T14" s="21" t="str">
        <f aca="false">IF($K14="","",$K14-N($R14)-N($S14))</f>
        <v/>
      </c>
      <c r="U14" s="18"/>
      <c r="V14" s="18"/>
      <c r="W14" s="22"/>
      <c r="X14" s="18"/>
      <c r="Y14" s="18"/>
    </row>
    <row r="15" customFormat="false" ht="15" hidden="false" customHeight="false" outlineLevel="0" collapsed="false">
      <c r="A15" s="18"/>
      <c r="B15" s="17"/>
      <c r="C15" s="18"/>
      <c r="D15" s="24" t="str">
        <f aca="false">IF($C15="","",IFERROR(INDEX('INVENTORY MASTER'!$K$4:$K$63,MATCH($C15,'INVENTORY MASTER'!$A$4:$A$63,0)),""))</f>
        <v/>
      </c>
      <c r="E15" s="24" t="str">
        <f aca="false">IF($C15="","",IFERROR(INDEX('INVENTORY MASTER'!$E$4:$E$63,MATCH($C15,'INVENTORY MASTER'!$A$4:$A$63,0)),""))</f>
        <v/>
      </c>
      <c r="F15" s="18"/>
      <c r="G15" s="18"/>
      <c r="H15" s="18"/>
      <c r="I15" s="21" t="str">
        <f aca="false">IF($C15="","",IFERROR(INDEX('INVENTORY MASTER'!$AI$4:$AI$63,MATCH($C15,'INVENTORY MASTER'!$A$4:$A$63,0)),""))</f>
        <v/>
      </c>
      <c r="J15" s="21" t="str">
        <f aca="false">IF($C15="","",IFERROR(INDEX('INVENTORY MASTER'!$AO$4:$AO$63,MATCH($C15,'INVENTORY MASTER'!$A$4:$A$63,0)),""))</f>
        <v/>
      </c>
      <c r="K15" s="22"/>
      <c r="L15" s="21" t="str">
        <f aca="false">IF(OR($J15="",$K15=""),"",$J15-$K15)</f>
        <v/>
      </c>
      <c r="M15" s="23" t="str">
        <f aca="false">IF(OR($J15="",$L15="",$J15=0),"",$L15/$J15)</f>
        <v/>
      </c>
      <c r="N15" s="21" t="str">
        <f aca="false">IF(OR($K15="",$I15=""),"",$K15-$I15)</f>
        <v/>
      </c>
      <c r="O15" s="23" t="str">
        <f aca="false">IF(OR($K15="",$K15=0,$N15=""),"",$N15/$K15)</f>
        <v/>
      </c>
      <c r="P15" s="18"/>
      <c r="Q15" s="18"/>
      <c r="R15" s="22"/>
      <c r="S15" s="22"/>
      <c r="T15" s="21" t="str">
        <f aca="false">IF($K15="","",$K15-N($R15)-N($S15))</f>
        <v/>
      </c>
      <c r="U15" s="18"/>
      <c r="V15" s="18"/>
      <c r="W15" s="22"/>
      <c r="X15" s="18"/>
      <c r="Y15" s="18"/>
    </row>
    <row r="16" customFormat="false" ht="15" hidden="false" customHeight="false" outlineLevel="0" collapsed="false">
      <c r="A16" s="18"/>
      <c r="B16" s="17"/>
      <c r="C16" s="18"/>
      <c r="D16" s="24" t="str">
        <f aca="false">IF($C16="","",IFERROR(INDEX('INVENTORY MASTER'!$K$4:$K$63,MATCH($C16,'INVENTORY MASTER'!$A$4:$A$63,0)),""))</f>
        <v/>
      </c>
      <c r="E16" s="24" t="str">
        <f aca="false">IF($C16="","",IFERROR(INDEX('INVENTORY MASTER'!$E$4:$E$63,MATCH($C16,'INVENTORY MASTER'!$A$4:$A$63,0)),""))</f>
        <v/>
      </c>
      <c r="F16" s="18"/>
      <c r="G16" s="18"/>
      <c r="H16" s="18"/>
      <c r="I16" s="21" t="str">
        <f aca="false">IF($C16="","",IFERROR(INDEX('INVENTORY MASTER'!$AI$4:$AI$63,MATCH($C16,'INVENTORY MASTER'!$A$4:$A$63,0)),""))</f>
        <v/>
      </c>
      <c r="J16" s="21" t="str">
        <f aca="false">IF($C16="","",IFERROR(INDEX('INVENTORY MASTER'!$AO$4:$AO$63,MATCH($C16,'INVENTORY MASTER'!$A$4:$A$63,0)),""))</f>
        <v/>
      </c>
      <c r="K16" s="22"/>
      <c r="L16" s="21" t="str">
        <f aca="false">IF(OR($J16="",$K16=""),"",$J16-$K16)</f>
        <v/>
      </c>
      <c r="M16" s="23" t="str">
        <f aca="false">IF(OR($J16="",$L16="",$J16=0),"",$L16/$J16)</f>
        <v/>
      </c>
      <c r="N16" s="21" t="str">
        <f aca="false">IF(OR($K16="",$I16=""),"",$K16-$I16)</f>
        <v/>
      </c>
      <c r="O16" s="23" t="str">
        <f aca="false">IF(OR($K16="",$K16=0,$N16=""),"",$N16/$K16)</f>
        <v/>
      </c>
      <c r="P16" s="18"/>
      <c r="Q16" s="18"/>
      <c r="R16" s="22"/>
      <c r="S16" s="22"/>
      <c r="T16" s="21" t="str">
        <f aca="false">IF($K16="","",$K16-N($R16)-N($S16))</f>
        <v/>
      </c>
      <c r="U16" s="18"/>
      <c r="V16" s="18"/>
      <c r="W16" s="22"/>
      <c r="X16" s="18"/>
      <c r="Y16" s="18"/>
    </row>
    <row r="17" customFormat="false" ht="15" hidden="false" customHeight="false" outlineLevel="0" collapsed="false">
      <c r="A17" s="18"/>
      <c r="B17" s="17"/>
      <c r="C17" s="18"/>
      <c r="D17" s="24" t="str">
        <f aca="false">IF($C17="","",IFERROR(INDEX('INVENTORY MASTER'!$K$4:$K$63,MATCH($C17,'INVENTORY MASTER'!$A$4:$A$63,0)),""))</f>
        <v/>
      </c>
      <c r="E17" s="24" t="str">
        <f aca="false">IF($C17="","",IFERROR(INDEX('INVENTORY MASTER'!$E$4:$E$63,MATCH($C17,'INVENTORY MASTER'!$A$4:$A$63,0)),""))</f>
        <v/>
      </c>
      <c r="F17" s="18"/>
      <c r="G17" s="18"/>
      <c r="H17" s="18"/>
      <c r="I17" s="21" t="str">
        <f aca="false">IF($C17="","",IFERROR(INDEX('INVENTORY MASTER'!$AI$4:$AI$63,MATCH($C17,'INVENTORY MASTER'!$A$4:$A$63,0)),""))</f>
        <v/>
      </c>
      <c r="J17" s="21" t="str">
        <f aca="false">IF($C17="","",IFERROR(INDEX('INVENTORY MASTER'!$AO$4:$AO$63,MATCH($C17,'INVENTORY MASTER'!$A$4:$A$63,0)),""))</f>
        <v/>
      </c>
      <c r="K17" s="22"/>
      <c r="L17" s="21" t="str">
        <f aca="false">IF(OR($J17="",$K17=""),"",$J17-$K17)</f>
        <v/>
      </c>
      <c r="M17" s="23" t="str">
        <f aca="false">IF(OR($J17="",$L17="",$J17=0),"",$L17/$J17)</f>
        <v/>
      </c>
      <c r="N17" s="21" t="str">
        <f aca="false">IF(OR($K17="",$I17=""),"",$K17-$I17)</f>
        <v/>
      </c>
      <c r="O17" s="23" t="str">
        <f aca="false">IF(OR($K17="",$K17=0,$N17=""),"",$N17/$K17)</f>
        <v/>
      </c>
      <c r="P17" s="18"/>
      <c r="Q17" s="18"/>
      <c r="R17" s="22"/>
      <c r="S17" s="22"/>
      <c r="T17" s="21" t="str">
        <f aca="false">IF($K17="","",$K17-N($R17)-N($S17))</f>
        <v/>
      </c>
      <c r="U17" s="18"/>
      <c r="V17" s="18"/>
      <c r="W17" s="22"/>
      <c r="X17" s="18"/>
      <c r="Y17" s="18"/>
    </row>
    <row r="18" customFormat="false" ht="15" hidden="false" customHeight="false" outlineLevel="0" collapsed="false">
      <c r="A18" s="18"/>
      <c r="B18" s="17"/>
      <c r="C18" s="18"/>
      <c r="D18" s="24" t="str">
        <f aca="false">IF($C18="","",IFERROR(INDEX('INVENTORY MASTER'!$K$4:$K$63,MATCH($C18,'INVENTORY MASTER'!$A$4:$A$63,0)),""))</f>
        <v/>
      </c>
      <c r="E18" s="24" t="str">
        <f aca="false">IF($C18="","",IFERROR(INDEX('INVENTORY MASTER'!$E$4:$E$63,MATCH($C18,'INVENTORY MASTER'!$A$4:$A$63,0)),""))</f>
        <v/>
      </c>
      <c r="F18" s="18"/>
      <c r="G18" s="18"/>
      <c r="H18" s="18"/>
      <c r="I18" s="21" t="str">
        <f aca="false">IF($C18="","",IFERROR(INDEX('INVENTORY MASTER'!$AI$4:$AI$63,MATCH($C18,'INVENTORY MASTER'!$A$4:$A$63,0)),""))</f>
        <v/>
      </c>
      <c r="J18" s="21" t="str">
        <f aca="false">IF($C18="","",IFERROR(INDEX('INVENTORY MASTER'!$AO$4:$AO$63,MATCH($C18,'INVENTORY MASTER'!$A$4:$A$63,0)),""))</f>
        <v/>
      </c>
      <c r="K18" s="22"/>
      <c r="L18" s="21" t="str">
        <f aca="false">IF(OR($J18="",$K18=""),"",$J18-$K18)</f>
        <v/>
      </c>
      <c r="M18" s="23" t="str">
        <f aca="false">IF(OR($J18="",$L18="",$J18=0),"",$L18/$J18)</f>
        <v/>
      </c>
      <c r="N18" s="21" t="str">
        <f aca="false">IF(OR($K18="",$I18=""),"",$K18-$I18)</f>
        <v/>
      </c>
      <c r="O18" s="23" t="str">
        <f aca="false">IF(OR($K18="",$K18=0,$N18=""),"",$N18/$K18)</f>
        <v/>
      </c>
      <c r="P18" s="18"/>
      <c r="Q18" s="18"/>
      <c r="R18" s="22"/>
      <c r="S18" s="22"/>
      <c r="T18" s="21" t="str">
        <f aca="false">IF($K18="","",$K18-N($R18)-N($S18))</f>
        <v/>
      </c>
      <c r="U18" s="18"/>
      <c r="V18" s="18"/>
      <c r="W18" s="22"/>
      <c r="X18" s="18"/>
      <c r="Y18" s="18"/>
    </row>
    <row r="19" customFormat="false" ht="15" hidden="false" customHeight="false" outlineLevel="0" collapsed="false">
      <c r="A19" s="18"/>
      <c r="B19" s="17"/>
      <c r="C19" s="18"/>
      <c r="D19" s="24" t="str">
        <f aca="false">IF($C19="","",IFERROR(INDEX('INVENTORY MASTER'!$K$4:$K$63,MATCH($C19,'INVENTORY MASTER'!$A$4:$A$63,0)),""))</f>
        <v/>
      </c>
      <c r="E19" s="24" t="str">
        <f aca="false">IF($C19="","",IFERROR(INDEX('INVENTORY MASTER'!$E$4:$E$63,MATCH($C19,'INVENTORY MASTER'!$A$4:$A$63,0)),""))</f>
        <v/>
      </c>
      <c r="F19" s="18"/>
      <c r="G19" s="18"/>
      <c r="H19" s="18"/>
      <c r="I19" s="21" t="str">
        <f aca="false">IF($C19="","",IFERROR(INDEX('INVENTORY MASTER'!$AI$4:$AI$63,MATCH($C19,'INVENTORY MASTER'!$A$4:$A$63,0)),""))</f>
        <v/>
      </c>
      <c r="J19" s="21" t="str">
        <f aca="false">IF($C19="","",IFERROR(INDEX('INVENTORY MASTER'!$AO$4:$AO$63,MATCH($C19,'INVENTORY MASTER'!$A$4:$A$63,0)),""))</f>
        <v/>
      </c>
      <c r="K19" s="22"/>
      <c r="L19" s="21" t="str">
        <f aca="false">IF(OR($J19="",$K19=""),"",$J19-$K19)</f>
        <v/>
      </c>
      <c r="M19" s="23" t="str">
        <f aca="false">IF(OR($J19="",$L19="",$J19=0),"",$L19/$J19)</f>
        <v/>
      </c>
      <c r="N19" s="21" t="str">
        <f aca="false">IF(OR($K19="",$I19=""),"",$K19-$I19)</f>
        <v/>
      </c>
      <c r="O19" s="23" t="str">
        <f aca="false">IF(OR($K19="",$K19=0,$N19=""),"",$N19/$K19)</f>
        <v/>
      </c>
      <c r="P19" s="18"/>
      <c r="Q19" s="18"/>
      <c r="R19" s="22"/>
      <c r="S19" s="22"/>
      <c r="T19" s="21" t="str">
        <f aca="false">IF($K19="","",$K19-N($R19)-N($S19))</f>
        <v/>
      </c>
      <c r="U19" s="18"/>
      <c r="V19" s="18"/>
      <c r="W19" s="22"/>
      <c r="X19" s="18"/>
      <c r="Y19" s="18"/>
    </row>
    <row r="20" customFormat="false" ht="15" hidden="false" customHeight="false" outlineLevel="0" collapsed="false">
      <c r="A20" s="18"/>
      <c r="B20" s="17"/>
      <c r="C20" s="18"/>
      <c r="D20" s="24" t="str">
        <f aca="false">IF($C20="","",IFERROR(INDEX('INVENTORY MASTER'!$K$4:$K$63,MATCH($C20,'INVENTORY MASTER'!$A$4:$A$63,0)),""))</f>
        <v/>
      </c>
      <c r="E20" s="24" t="str">
        <f aca="false">IF($C20="","",IFERROR(INDEX('INVENTORY MASTER'!$E$4:$E$63,MATCH($C20,'INVENTORY MASTER'!$A$4:$A$63,0)),""))</f>
        <v/>
      </c>
      <c r="F20" s="18"/>
      <c r="G20" s="18"/>
      <c r="H20" s="18"/>
      <c r="I20" s="21" t="str">
        <f aca="false">IF($C20="","",IFERROR(INDEX('INVENTORY MASTER'!$AI$4:$AI$63,MATCH($C20,'INVENTORY MASTER'!$A$4:$A$63,0)),""))</f>
        <v/>
      </c>
      <c r="J20" s="21" t="str">
        <f aca="false">IF($C20="","",IFERROR(INDEX('INVENTORY MASTER'!$AO$4:$AO$63,MATCH($C20,'INVENTORY MASTER'!$A$4:$A$63,0)),""))</f>
        <v/>
      </c>
      <c r="K20" s="22"/>
      <c r="L20" s="21" t="str">
        <f aca="false">IF(OR($J20="",$K20=""),"",$J20-$K20)</f>
        <v/>
      </c>
      <c r="M20" s="23" t="str">
        <f aca="false">IF(OR($J20="",$L20="",$J20=0),"",$L20/$J20)</f>
        <v/>
      </c>
      <c r="N20" s="21" t="str">
        <f aca="false">IF(OR($K20="",$I20=""),"",$K20-$I20)</f>
        <v/>
      </c>
      <c r="O20" s="23" t="str">
        <f aca="false">IF(OR($K20="",$K20=0,$N20=""),"",$N20/$K20)</f>
        <v/>
      </c>
      <c r="P20" s="18"/>
      <c r="Q20" s="18"/>
      <c r="R20" s="22"/>
      <c r="S20" s="22"/>
      <c r="T20" s="21" t="str">
        <f aca="false">IF($K20="","",$K20-N($R20)-N($S20))</f>
        <v/>
      </c>
      <c r="U20" s="18"/>
      <c r="V20" s="18"/>
      <c r="W20" s="22"/>
      <c r="X20" s="18"/>
      <c r="Y20" s="18"/>
    </row>
    <row r="21" customFormat="false" ht="15" hidden="false" customHeight="false" outlineLevel="0" collapsed="false">
      <c r="A21" s="18"/>
      <c r="B21" s="17"/>
      <c r="C21" s="18"/>
      <c r="D21" s="24" t="str">
        <f aca="false">IF($C21="","",IFERROR(INDEX('INVENTORY MASTER'!$K$4:$K$63,MATCH($C21,'INVENTORY MASTER'!$A$4:$A$63,0)),""))</f>
        <v/>
      </c>
      <c r="E21" s="24" t="str">
        <f aca="false">IF($C21="","",IFERROR(INDEX('INVENTORY MASTER'!$E$4:$E$63,MATCH($C21,'INVENTORY MASTER'!$A$4:$A$63,0)),""))</f>
        <v/>
      </c>
      <c r="F21" s="18"/>
      <c r="G21" s="18"/>
      <c r="H21" s="18"/>
      <c r="I21" s="21" t="str">
        <f aca="false">IF($C21="","",IFERROR(INDEX('INVENTORY MASTER'!$AI$4:$AI$63,MATCH($C21,'INVENTORY MASTER'!$A$4:$A$63,0)),""))</f>
        <v/>
      </c>
      <c r="J21" s="21" t="str">
        <f aca="false">IF($C21="","",IFERROR(INDEX('INVENTORY MASTER'!$AO$4:$AO$63,MATCH($C21,'INVENTORY MASTER'!$A$4:$A$63,0)),""))</f>
        <v/>
      </c>
      <c r="K21" s="22"/>
      <c r="L21" s="21" t="str">
        <f aca="false">IF(OR($J21="",$K21=""),"",$J21-$K21)</f>
        <v/>
      </c>
      <c r="M21" s="23" t="str">
        <f aca="false">IF(OR($J21="",$L21="",$J21=0),"",$L21/$J21)</f>
        <v/>
      </c>
      <c r="N21" s="21" t="str">
        <f aca="false">IF(OR($K21="",$I21=""),"",$K21-$I21)</f>
        <v/>
      </c>
      <c r="O21" s="23" t="str">
        <f aca="false">IF(OR($K21="",$K21=0,$N21=""),"",$N21/$K21)</f>
        <v/>
      </c>
      <c r="P21" s="18"/>
      <c r="Q21" s="18"/>
      <c r="R21" s="22"/>
      <c r="S21" s="22"/>
      <c r="T21" s="21" t="str">
        <f aca="false">IF($K21="","",$K21-N($R21)-N($S21))</f>
        <v/>
      </c>
      <c r="U21" s="18"/>
      <c r="V21" s="18"/>
      <c r="W21" s="22"/>
      <c r="X21" s="18"/>
      <c r="Y21" s="18"/>
    </row>
    <row r="22" customFormat="false" ht="15" hidden="false" customHeight="false" outlineLevel="0" collapsed="false">
      <c r="A22" s="18"/>
      <c r="B22" s="17"/>
      <c r="C22" s="18"/>
      <c r="D22" s="24" t="str">
        <f aca="false">IF($C22="","",IFERROR(INDEX('INVENTORY MASTER'!$K$4:$K$63,MATCH($C22,'INVENTORY MASTER'!$A$4:$A$63,0)),""))</f>
        <v/>
      </c>
      <c r="E22" s="24" t="str">
        <f aca="false">IF($C22="","",IFERROR(INDEX('INVENTORY MASTER'!$E$4:$E$63,MATCH($C22,'INVENTORY MASTER'!$A$4:$A$63,0)),""))</f>
        <v/>
      </c>
      <c r="F22" s="18"/>
      <c r="G22" s="18"/>
      <c r="H22" s="18"/>
      <c r="I22" s="21" t="str">
        <f aca="false">IF($C22="","",IFERROR(INDEX('INVENTORY MASTER'!$AI$4:$AI$63,MATCH($C22,'INVENTORY MASTER'!$A$4:$A$63,0)),""))</f>
        <v/>
      </c>
      <c r="J22" s="21" t="str">
        <f aca="false">IF($C22="","",IFERROR(INDEX('INVENTORY MASTER'!$AO$4:$AO$63,MATCH($C22,'INVENTORY MASTER'!$A$4:$A$63,0)),""))</f>
        <v/>
      </c>
      <c r="K22" s="22"/>
      <c r="L22" s="21" t="str">
        <f aca="false">IF(OR($J22="",$K22=""),"",$J22-$K22)</f>
        <v/>
      </c>
      <c r="M22" s="23" t="str">
        <f aca="false">IF(OR($J22="",$L22="",$J22=0),"",$L22/$J22)</f>
        <v/>
      </c>
      <c r="N22" s="21" t="str">
        <f aca="false">IF(OR($K22="",$I22=""),"",$K22-$I22)</f>
        <v/>
      </c>
      <c r="O22" s="23" t="str">
        <f aca="false">IF(OR($K22="",$K22=0,$N22=""),"",$N22/$K22)</f>
        <v/>
      </c>
      <c r="P22" s="18"/>
      <c r="Q22" s="18"/>
      <c r="R22" s="22"/>
      <c r="S22" s="22"/>
      <c r="T22" s="21" t="str">
        <f aca="false">IF($K22="","",$K22-N($R22)-N($S22))</f>
        <v/>
      </c>
      <c r="U22" s="18"/>
      <c r="V22" s="18"/>
      <c r="W22" s="22"/>
      <c r="X22" s="18"/>
      <c r="Y22" s="18"/>
    </row>
    <row r="23" customFormat="false" ht="15" hidden="false" customHeight="false" outlineLevel="0" collapsed="false">
      <c r="A23" s="18"/>
      <c r="B23" s="17"/>
      <c r="C23" s="18"/>
      <c r="D23" s="24" t="str">
        <f aca="false">IF($C23="","",IFERROR(INDEX('INVENTORY MASTER'!$K$4:$K$63,MATCH($C23,'INVENTORY MASTER'!$A$4:$A$63,0)),""))</f>
        <v/>
      </c>
      <c r="E23" s="24" t="str">
        <f aca="false">IF($C23="","",IFERROR(INDEX('INVENTORY MASTER'!$E$4:$E$63,MATCH($C23,'INVENTORY MASTER'!$A$4:$A$63,0)),""))</f>
        <v/>
      </c>
      <c r="F23" s="18"/>
      <c r="G23" s="18"/>
      <c r="H23" s="18"/>
      <c r="I23" s="21" t="str">
        <f aca="false">IF($C23="","",IFERROR(INDEX('INVENTORY MASTER'!$AI$4:$AI$63,MATCH($C23,'INVENTORY MASTER'!$A$4:$A$63,0)),""))</f>
        <v/>
      </c>
      <c r="J23" s="21" t="str">
        <f aca="false">IF($C23="","",IFERROR(INDEX('INVENTORY MASTER'!$AO$4:$AO$63,MATCH($C23,'INVENTORY MASTER'!$A$4:$A$63,0)),""))</f>
        <v/>
      </c>
      <c r="K23" s="22"/>
      <c r="L23" s="21" t="str">
        <f aca="false">IF(OR($J23="",$K23=""),"",$J23-$K23)</f>
        <v/>
      </c>
      <c r="M23" s="23" t="str">
        <f aca="false">IF(OR($J23="",$L23="",$J23=0),"",$L23/$J23)</f>
        <v/>
      </c>
      <c r="N23" s="21" t="str">
        <f aca="false">IF(OR($K23="",$I23=""),"",$K23-$I23)</f>
        <v/>
      </c>
      <c r="O23" s="23" t="str">
        <f aca="false">IF(OR($K23="",$K23=0,$N23=""),"",$N23/$K23)</f>
        <v/>
      </c>
      <c r="P23" s="18"/>
      <c r="Q23" s="18"/>
      <c r="R23" s="22"/>
      <c r="S23" s="22"/>
      <c r="T23" s="21" t="str">
        <f aca="false">IF($K23="","",$K23-N($R23)-N($S23))</f>
        <v/>
      </c>
      <c r="U23" s="18"/>
      <c r="V23" s="18"/>
      <c r="W23" s="22"/>
      <c r="X23" s="18"/>
      <c r="Y23" s="18"/>
    </row>
    <row r="24" customFormat="false" ht="15" hidden="false" customHeight="false" outlineLevel="0" collapsed="false">
      <c r="A24" s="18"/>
      <c r="B24" s="17"/>
      <c r="C24" s="18"/>
      <c r="D24" s="24" t="str">
        <f aca="false">IF($C24="","",IFERROR(INDEX('INVENTORY MASTER'!$K$4:$K$63,MATCH($C24,'INVENTORY MASTER'!$A$4:$A$63,0)),""))</f>
        <v/>
      </c>
      <c r="E24" s="24" t="str">
        <f aca="false">IF($C24="","",IFERROR(INDEX('INVENTORY MASTER'!$E$4:$E$63,MATCH($C24,'INVENTORY MASTER'!$A$4:$A$63,0)),""))</f>
        <v/>
      </c>
      <c r="F24" s="18"/>
      <c r="G24" s="18"/>
      <c r="H24" s="18"/>
      <c r="I24" s="21" t="str">
        <f aca="false">IF($C24="","",IFERROR(INDEX('INVENTORY MASTER'!$AI$4:$AI$63,MATCH($C24,'INVENTORY MASTER'!$A$4:$A$63,0)),""))</f>
        <v/>
      </c>
      <c r="J24" s="21" t="str">
        <f aca="false">IF($C24="","",IFERROR(INDEX('INVENTORY MASTER'!$AO$4:$AO$63,MATCH($C24,'INVENTORY MASTER'!$A$4:$A$63,0)),""))</f>
        <v/>
      </c>
      <c r="K24" s="22"/>
      <c r="L24" s="21" t="str">
        <f aca="false">IF(OR($J24="",$K24=""),"",$J24-$K24)</f>
        <v/>
      </c>
      <c r="M24" s="23" t="str">
        <f aca="false">IF(OR($J24="",$L24="",$J24=0),"",$L24/$J24)</f>
        <v/>
      </c>
      <c r="N24" s="21" t="str">
        <f aca="false">IF(OR($K24="",$I24=""),"",$K24-$I24)</f>
        <v/>
      </c>
      <c r="O24" s="23" t="str">
        <f aca="false">IF(OR($K24="",$K24=0,$N24=""),"",$N24/$K24)</f>
        <v/>
      </c>
      <c r="P24" s="18"/>
      <c r="Q24" s="18"/>
      <c r="R24" s="22"/>
      <c r="S24" s="22"/>
      <c r="T24" s="21" t="str">
        <f aca="false">IF($K24="","",$K24-N($R24)-N($S24))</f>
        <v/>
      </c>
      <c r="U24" s="18"/>
      <c r="V24" s="18"/>
      <c r="W24" s="22"/>
      <c r="X24" s="18"/>
      <c r="Y24" s="18"/>
    </row>
    <row r="25" customFormat="false" ht="15" hidden="false" customHeight="false" outlineLevel="0" collapsed="false">
      <c r="A25" s="18"/>
      <c r="B25" s="17"/>
      <c r="C25" s="18"/>
      <c r="D25" s="24" t="str">
        <f aca="false">IF($C25="","",IFERROR(INDEX('INVENTORY MASTER'!$K$4:$K$63,MATCH($C25,'INVENTORY MASTER'!$A$4:$A$63,0)),""))</f>
        <v/>
      </c>
      <c r="E25" s="24" t="str">
        <f aca="false">IF($C25="","",IFERROR(INDEX('INVENTORY MASTER'!$E$4:$E$63,MATCH($C25,'INVENTORY MASTER'!$A$4:$A$63,0)),""))</f>
        <v/>
      </c>
      <c r="F25" s="18"/>
      <c r="G25" s="18"/>
      <c r="H25" s="18"/>
      <c r="I25" s="21" t="str">
        <f aca="false">IF($C25="","",IFERROR(INDEX('INVENTORY MASTER'!$AI$4:$AI$63,MATCH($C25,'INVENTORY MASTER'!$A$4:$A$63,0)),""))</f>
        <v/>
      </c>
      <c r="J25" s="21" t="str">
        <f aca="false">IF($C25="","",IFERROR(INDEX('INVENTORY MASTER'!$AO$4:$AO$63,MATCH($C25,'INVENTORY MASTER'!$A$4:$A$63,0)),""))</f>
        <v/>
      </c>
      <c r="K25" s="22"/>
      <c r="L25" s="21" t="str">
        <f aca="false">IF(OR($J25="",$K25=""),"",$J25-$K25)</f>
        <v/>
      </c>
      <c r="M25" s="23" t="str">
        <f aca="false">IF(OR($J25="",$L25="",$J25=0),"",$L25/$J25)</f>
        <v/>
      </c>
      <c r="N25" s="21" t="str">
        <f aca="false">IF(OR($K25="",$I25=""),"",$K25-$I25)</f>
        <v/>
      </c>
      <c r="O25" s="23" t="str">
        <f aca="false">IF(OR($K25="",$K25=0,$N25=""),"",$N25/$K25)</f>
        <v/>
      </c>
      <c r="P25" s="18"/>
      <c r="Q25" s="18"/>
      <c r="R25" s="22"/>
      <c r="S25" s="22"/>
      <c r="T25" s="21" t="str">
        <f aca="false">IF($K25="","",$K25-N($R25)-N($S25))</f>
        <v/>
      </c>
      <c r="U25" s="18"/>
      <c r="V25" s="18"/>
      <c r="W25" s="22"/>
      <c r="X25" s="18"/>
      <c r="Y25" s="18"/>
    </row>
    <row r="26" customFormat="false" ht="15" hidden="false" customHeight="false" outlineLevel="0" collapsed="false">
      <c r="A26" s="18"/>
      <c r="B26" s="17"/>
      <c r="C26" s="18"/>
      <c r="D26" s="24" t="str">
        <f aca="false">IF($C26="","",IFERROR(INDEX('INVENTORY MASTER'!$K$4:$K$63,MATCH($C26,'INVENTORY MASTER'!$A$4:$A$63,0)),""))</f>
        <v/>
      </c>
      <c r="E26" s="24" t="str">
        <f aca="false">IF($C26="","",IFERROR(INDEX('INVENTORY MASTER'!$E$4:$E$63,MATCH($C26,'INVENTORY MASTER'!$A$4:$A$63,0)),""))</f>
        <v/>
      </c>
      <c r="F26" s="18"/>
      <c r="G26" s="18"/>
      <c r="H26" s="18"/>
      <c r="I26" s="21" t="str">
        <f aca="false">IF($C26="","",IFERROR(INDEX('INVENTORY MASTER'!$AI$4:$AI$63,MATCH($C26,'INVENTORY MASTER'!$A$4:$A$63,0)),""))</f>
        <v/>
      </c>
      <c r="J26" s="21" t="str">
        <f aca="false">IF($C26="","",IFERROR(INDEX('INVENTORY MASTER'!$AO$4:$AO$63,MATCH($C26,'INVENTORY MASTER'!$A$4:$A$63,0)),""))</f>
        <v/>
      </c>
      <c r="K26" s="22"/>
      <c r="L26" s="21" t="str">
        <f aca="false">IF(OR($J26="",$K26=""),"",$J26-$K26)</f>
        <v/>
      </c>
      <c r="M26" s="23" t="str">
        <f aca="false">IF(OR($J26="",$L26="",$J26=0),"",$L26/$J26)</f>
        <v/>
      </c>
      <c r="N26" s="21" t="str">
        <f aca="false">IF(OR($K26="",$I26=""),"",$K26-$I26)</f>
        <v/>
      </c>
      <c r="O26" s="23" t="str">
        <f aca="false">IF(OR($K26="",$K26=0,$N26=""),"",$N26/$K26)</f>
        <v/>
      </c>
      <c r="P26" s="18"/>
      <c r="Q26" s="18"/>
      <c r="R26" s="22"/>
      <c r="S26" s="22"/>
      <c r="T26" s="21" t="str">
        <f aca="false">IF($K26="","",$K26-N($R26)-N($S26))</f>
        <v/>
      </c>
      <c r="U26" s="18"/>
      <c r="V26" s="18"/>
      <c r="W26" s="22"/>
      <c r="X26" s="18"/>
      <c r="Y26" s="18"/>
    </row>
    <row r="27" customFormat="false" ht="15" hidden="false" customHeight="false" outlineLevel="0" collapsed="false">
      <c r="A27" s="18"/>
      <c r="B27" s="17"/>
      <c r="C27" s="18"/>
      <c r="D27" s="24" t="str">
        <f aca="false">IF($C27="","",IFERROR(INDEX('INVENTORY MASTER'!$K$4:$K$63,MATCH($C27,'INVENTORY MASTER'!$A$4:$A$63,0)),""))</f>
        <v/>
      </c>
      <c r="E27" s="24" t="str">
        <f aca="false">IF($C27="","",IFERROR(INDEX('INVENTORY MASTER'!$E$4:$E$63,MATCH($C27,'INVENTORY MASTER'!$A$4:$A$63,0)),""))</f>
        <v/>
      </c>
      <c r="F27" s="18"/>
      <c r="G27" s="18"/>
      <c r="H27" s="18"/>
      <c r="I27" s="21" t="str">
        <f aca="false">IF($C27="","",IFERROR(INDEX('INVENTORY MASTER'!$AI$4:$AI$63,MATCH($C27,'INVENTORY MASTER'!$A$4:$A$63,0)),""))</f>
        <v/>
      </c>
      <c r="J27" s="21" t="str">
        <f aca="false">IF($C27="","",IFERROR(INDEX('INVENTORY MASTER'!$AO$4:$AO$63,MATCH($C27,'INVENTORY MASTER'!$A$4:$A$63,0)),""))</f>
        <v/>
      </c>
      <c r="K27" s="22"/>
      <c r="L27" s="21" t="str">
        <f aca="false">IF(OR($J27="",$K27=""),"",$J27-$K27)</f>
        <v/>
      </c>
      <c r="M27" s="23" t="str">
        <f aca="false">IF(OR($J27="",$L27="",$J27=0),"",$L27/$J27)</f>
        <v/>
      </c>
      <c r="N27" s="21" t="str">
        <f aca="false">IF(OR($K27="",$I27=""),"",$K27-$I27)</f>
        <v/>
      </c>
      <c r="O27" s="23" t="str">
        <f aca="false">IF(OR($K27="",$K27=0,$N27=""),"",$N27/$K27)</f>
        <v/>
      </c>
      <c r="P27" s="18"/>
      <c r="Q27" s="18"/>
      <c r="R27" s="22"/>
      <c r="S27" s="22"/>
      <c r="T27" s="21" t="str">
        <f aca="false">IF($K27="","",$K27-N($R27)-N($S27))</f>
        <v/>
      </c>
      <c r="U27" s="18"/>
      <c r="V27" s="18"/>
      <c r="W27" s="22"/>
      <c r="X27" s="18"/>
      <c r="Y27" s="18"/>
    </row>
    <row r="28" customFormat="false" ht="15" hidden="false" customHeight="false" outlineLevel="0" collapsed="false">
      <c r="A28" s="18"/>
      <c r="B28" s="17"/>
      <c r="C28" s="18"/>
      <c r="D28" s="24" t="str">
        <f aca="false">IF($C28="","",IFERROR(INDEX('INVENTORY MASTER'!$K$4:$K$63,MATCH($C28,'INVENTORY MASTER'!$A$4:$A$63,0)),""))</f>
        <v/>
      </c>
      <c r="E28" s="24" t="str">
        <f aca="false">IF($C28="","",IFERROR(INDEX('INVENTORY MASTER'!$E$4:$E$63,MATCH($C28,'INVENTORY MASTER'!$A$4:$A$63,0)),""))</f>
        <v/>
      </c>
      <c r="F28" s="18"/>
      <c r="G28" s="18"/>
      <c r="H28" s="18"/>
      <c r="I28" s="21" t="str">
        <f aca="false">IF($C28="","",IFERROR(INDEX('INVENTORY MASTER'!$AI$4:$AI$63,MATCH($C28,'INVENTORY MASTER'!$A$4:$A$63,0)),""))</f>
        <v/>
      </c>
      <c r="J28" s="21" t="str">
        <f aca="false">IF($C28="","",IFERROR(INDEX('INVENTORY MASTER'!$AO$4:$AO$63,MATCH($C28,'INVENTORY MASTER'!$A$4:$A$63,0)),""))</f>
        <v/>
      </c>
      <c r="K28" s="22"/>
      <c r="L28" s="21" t="str">
        <f aca="false">IF(OR($J28="",$K28=""),"",$J28-$K28)</f>
        <v/>
      </c>
      <c r="M28" s="23" t="str">
        <f aca="false">IF(OR($J28="",$L28="",$J28=0),"",$L28/$J28)</f>
        <v/>
      </c>
      <c r="N28" s="21" t="str">
        <f aca="false">IF(OR($K28="",$I28=""),"",$K28-$I28)</f>
        <v/>
      </c>
      <c r="O28" s="23" t="str">
        <f aca="false">IF(OR($K28="",$K28=0,$N28=""),"",$N28/$K28)</f>
        <v/>
      </c>
      <c r="P28" s="18"/>
      <c r="Q28" s="18"/>
      <c r="R28" s="22"/>
      <c r="S28" s="22"/>
      <c r="T28" s="21" t="str">
        <f aca="false">IF($K28="","",$K28-N($R28)-N($S28))</f>
        <v/>
      </c>
      <c r="U28" s="18"/>
      <c r="V28" s="18"/>
      <c r="W28" s="22"/>
      <c r="X28" s="18"/>
      <c r="Y28" s="18"/>
    </row>
    <row r="29" customFormat="false" ht="15" hidden="false" customHeight="false" outlineLevel="0" collapsed="false">
      <c r="A29" s="18"/>
      <c r="B29" s="17"/>
      <c r="C29" s="18"/>
      <c r="D29" s="24" t="str">
        <f aca="false">IF($C29="","",IFERROR(INDEX('INVENTORY MASTER'!$K$4:$K$63,MATCH($C29,'INVENTORY MASTER'!$A$4:$A$63,0)),""))</f>
        <v/>
      </c>
      <c r="E29" s="24" t="str">
        <f aca="false">IF($C29="","",IFERROR(INDEX('INVENTORY MASTER'!$E$4:$E$63,MATCH($C29,'INVENTORY MASTER'!$A$4:$A$63,0)),""))</f>
        <v/>
      </c>
      <c r="F29" s="18"/>
      <c r="G29" s="18"/>
      <c r="H29" s="18"/>
      <c r="I29" s="21" t="str">
        <f aca="false">IF($C29="","",IFERROR(INDEX('INVENTORY MASTER'!$AI$4:$AI$63,MATCH($C29,'INVENTORY MASTER'!$A$4:$A$63,0)),""))</f>
        <v/>
      </c>
      <c r="J29" s="21" t="str">
        <f aca="false">IF($C29="","",IFERROR(INDEX('INVENTORY MASTER'!$AO$4:$AO$63,MATCH($C29,'INVENTORY MASTER'!$A$4:$A$63,0)),""))</f>
        <v/>
      </c>
      <c r="K29" s="22"/>
      <c r="L29" s="21" t="str">
        <f aca="false">IF(OR($J29="",$K29=""),"",$J29-$K29)</f>
        <v/>
      </c>
      <c r="M29" s="23" t="str">
        <f aca="false">IF(OR($J29="",$L29="",$J29=0),"",$L29/$J29)</f>
        <v/>
      </c>
      <c r="N29" s="21" t="str">
        <f aca="false">IF(OR($K29="",$I29=""),"",$K29-$I29)</f>
        <v/>
      </c>
      <c r="O29" s="23" t="str">
        <f aca="false">IF(OR($K29="",$K29=0,$N29=""),"",$N29/$K29)</f>
        <v/>
      </c>
      <c r="P29" s="18"/>
      <c r="Q29" s="18"/>
      <c r="R29" s="22"/>
      <c r="S29" s="22"/>
      <c r="T29" s="21" t="str">
        <f aca="false">IF($K29="","",$K29-N($R29)-N($S29))</f>
        <v/>
      </c>
      <c r="U29" s="18"/>
      <c r="V29" s="18"/>
      <c r="W29" s="22"/>
      <c r="X29" s="18"/>
      <c r="Y29" s="18"/>
    </row>
    <row r="30" customFormat="false" ht="15" hidden="false" customHeight="false" outlineLevel="0" collapsed="false">
      <c r="A30" s="18"/>
      <c r="B30" s="17"/>
      <c r="C30" s="18"/>
      <c r="D30" s="24" t="str">
        <f aca="false">IF($C30="","",IFERROR(INDEX('INVENTORY MASTER'!$K$4:$K$63,MATCH($C30,'INVENTORY MASTER'!$A$4:$A$63,0)),""))</f>
        <v/>
      </c>
      <c r="E30" s="24" t="str">
        <f aca="false">IF($C30="","",IFERROR(INDEX('INVENTORY MASTER'!$E$4:$E$63,MATCH($C30,'INVENTORY MASTER'!$A$4:$A$63,0)),""))</f>
        <v/>
      </c>
      <c r="F30" s="18"/>
      <c r="G30" s="18"/>
      <c r="H30" s="18"/>
      <c r="I30" s="21" t="str">
        <f aca="false">IF($C30="","",IFERROR(INDEX('INVENTORY MASTER'!$AI$4:$AI$63,MATCH($C30,'INVENTORY MASTER'!$A$4:$A$63,0)),""))</f>
        <v/>
      </c>
      <c r="J30" s="21" t="str">
        <f aca="false">IF($C30="","",IFERROR(INDEX('INVENTORY MASTER'!$AO$4:$AO$63,MATCH($C30,'INVENTORY MASTER'!$A$4:$A$63,0)),""))</f>
        <v/>
      </c>
      <c r="K30" s="22"/>
      <c r="L30" s="21" t="str">
        <f aca="false">IF(OR($J30="",$K30=""),"",$J30-$K30)</f>
        <v/>
      </c>
      <c r="M30" s="23" t="str">
        <f aca="false">IF(OR($J30="",$L30="",$J30=0),"",$L30/$J30)</f>
        <v/>
      </c>
      <c r="N30" s="21" t="str">
        <f aca="false">IF(OR($K30="",$I30=""),"",$K30-$I30)</f>
        <v/>
      </c>
      <c r="O30" s="23" t="str">
        <f aca="false">IF(OR($K30="",$K30=0,$N30=""),"",$N30/$K30)</f>
        <v/>
      </c>
      <c r="P30" s="18"/>
      <c r="Q30" s="18"/>
      <c r="R30" s="22"/>
      <c r="S30" s="22"/>
      <c r="T30" s="21" t="str">
        <f aca="false">IF($K30="","",$K30-N($R30)-N($S30))</f>
        <v/>
      </c>
      <c r="U30" s="18"/>
      <c r="V30" s="18"/>
      <c r="W30" s="22"/>
      <c r="X30" s="18"/>
      <c r="Y30" s="18"/>
    </row>
    <row r="31" customFormat="false" ht="15" hidden="false" customHeight="false" outlineLevel="0" collapsed="false">
      <c r="A31" s="18"/>
      <c r="B31" s="17"/>
      <c r="C31" s="18"/>
      <c r="D31" s="24" t="str">
        <f aca="false">IF($C31="","",IFERROR(INDEX('INVENTORY MASTER'!$K$4:$K$63,MATCH($C31,'INVENTORY MASTER'!$A$4:$A$63,0)),""))</f>
        <v/>
      </c>
      <c r="E31" s="24" t="str">
        <f aca="false">IF($C31="","",IFERROR(INDEX('INVENTORY MASTER'!$E$4:$E$63,MATCH($C31,'INVENTORY MASTER'!$A$4:$A$63,0)),""))</f>
        <v/>
      </c>
      <c r="F31" s="18"/>
      <c r="G31" s="18"/>
      <c r="H31" s="18"/>
      <c r="I31" s="21" t="str">
        <f aca="false">IF($C31="","",IFERROR(INDEX('INVENTORY MASTER'!$AI$4:$AI$63,MATCH($C31,'INVENTORY MASTER'!$A$4:$A$63,0)),""))</f>
        <v/>
      </c>
      <c r="J31" s="21" t="str">
        <f aca="false">IF($C31="","",IFERROR(INDEX('INVENTORY MASTER'!$AO$4:$AO$63,MATCH($C31,'INVENTORY MASTER'!$A$4:$A$63,0)),""))</f>
        <v/>
      </c>
      <c r="K31" s="22"/>
      <c r="L31" s="21" t="str">
        <f aca="false">IF(OR($J31="",$K31=""),"",$J31-$K31)</f>
        <v/>
      </c>
      <c r="M31" s="23" t="str">
        <f aca="false">IF(OR($J31="",$L31="",$J31=0),"",$L31/$J31)</f>
        <v/>
      </c>
      <c r="N31" s="21" t="str">
        <f aca="false">IF(OR($K31="",$I31=""),"",$K31-$I31)</f>
        <v/>
      </c>
      <c r="O31" s="23" t="str">
        <f aca="false">IF(OR($K31="",$K31=0,$N31=""),"",$N31/$K31)</f>
        <v/>
      </c>
      <c r="P31" s="18"/>
      <c r="Q31" s="18"/>
      <c r="R31" s="22"/>
      <c r="S31" s="22"/>
      <c r="T31" s="21" t="str">
        <f aca="false">IF($K31="","",$K31-N($R31)-N($S31))</f>
        <v/>
      </c>
      <c r="U31" s="18"/>
      <c r="V31" s="18"/>
      <c r="W31" s="22"/>
      <c r="X31" s="18"/>
      <c r="Y31" s="18"/>
    </row>
    <row r="32" customFormat="false" ht="15" hidden="false" customHeight="false" outlineLevel="0" collapsed="false">
      <c r="A32" s="18"/>
      <c r="B32" s="17"/>
      <c r="C32" s="18"/>
      <c r="D32" s="24" t="str">
        <f aca="false">IF($C32="","",IFERROR(INDEX('INVENTORY MASTER'!$K$4:$K$63,MATCH($C32,'INVENTORY MASTER'!$A$4:$A$63,0)),""))</f>
        <v/>
      </c>
      <c r="E32" s="24" t="str">
        <f aca="false">IF($C32="","",IFERROR(INDEX('INVENTORY MASTER'!$E$4:$E$63,MATCH($C32,'INVENTORY MASTER'!$A$4:$A$63,0)),""))</f>
        <v/>
      </c>
      <c r="F32" s="18"/>
      <c r="G32" s="18"/>
      <c r="H32" s="18"/>
      <c r="I32" s="21" t="str">
        <f aca="false">IF($C32="","",IFERROR(INDEX('INVENTORY MASTER'!$AI$4:$AI$63,MATCH($C32,'INVENTORY MASTER'!$A$4:$A$63,0)),""))</f>
        <v/>
      </c>
      <c r="J32" s="21" t="str">
        <f aca="false">IF($C32="","",IFERROR(INDEX('INVENTORY MASTER'!$AO$4:$AO$63,MATCH($C32,'INVENTORY MASTER'!$A$4:$A$63,0)),""))</f>
        <v/>
      </c>
      <c r="K32" s="22"/>
      <c r="L32" s="21" t="str">
        <f aca="false">IF(OR($J32="",$K32=""),"",$J32-$K32)</f>
        <v/>
      </c>
      <c r="M32" s="23" t="str">
        <f aca="false">IF(OR($J32="",$L32="",$J32=0),"",$L32/$J32)</f>
        <v/>
      </c>
      <c r="N32" s="21" t="str">
        <f aca="false">IF(OR($K32="",$I32=""),"",$K32-$I32)</f>
        <v/>
      </c>
      <c r="O32" s="23" t="str">
        <f aca="false">IF(OR($K32="",$K32=0,$N32=""),"",$N32/$K32)</f>
        <v/>
      </c>
      <c r="P32" s="18"/>
      <c r="Q32" s="18"/>
      <c r="R32" s="22"/>
      <c r="S32" s="22"/>
      <c r="T32" s="21" t="str">
        <f aca="false">IF($K32="","",$K32-N($R32)-N($S32))</f>
        <v/>
      </c>
      <c r="U32" s="18"/>
      <c r="V32" s="18"/>
      <c r="W32" s="22"/>
      <c r="X32" s="18"/>
      <c r="Y32" s="18"/>
    </row>
    <row r="33" customFormat="false" ht="15" hidden="false" customHeight="false" outlineLevel="0" collapsed="false">
      <c r="A33" s="18"/>
      <c r="B33" s="17"/>
      <c r="C33" s="18"/>
      <c r="D33" s="24" t="str">
        <f aca="false">IF($C33="","",IFERROR(INDEX('INVENTORY MASTER'!$K$4:$K$63,MATCH($C33,'INVENTORY MASTER'!$A$4:$A$63,0)),""))</f>
        <v/>
      </c>
      <c r="E33" s="24" t="str">
        <f aca="false">IF($C33="","",IFERROR(INDEX('INVENTORY MASTER'!$E$4:$E$63,MATCH($C33,'INVENTORY MASTER'!$A$4:$A$63,0)),""))</f>
        <v/>
      </c>
      <c r="F33" s="18"/>
      <c r="G33" s="18"/>
      <c r="H33" s="18"/>
      <c r="I33" s="21" t="str">
        <f aca="false">IF($C33="","",IFERROR(INDEX('INVENTORY MASTER'!$AI$4:$AI$63,MATCH($C33,'INVENTORY MASTER'!$A$4:$A$63,0)),""))</f>
        <v/>
      </c>
      <c r="J33" s="21" t="str">
        <f aca="false">IF($C33="","",IFERROR(INDEX('INVENTORY MASTER'!$AO$4:$AO$63,MATCH($C33,'INVENTORY MASTER'!$A$4:$A$63,0)),""))</f>
        <v/>
      </c>
      <c r="K33" s="22"/>
      <c r="L33" s="21" t="str">
        <f aca="false">IF(OR($J33="",$K33=""),"",$J33-$K33)</f>
        <v/>
      </c>
      <c r="M33" s="23" t="str">
        <f aca="false">IF(OR($J33="",$L33="",$J33=0),"",$L33/$J33)</f>
        <v/>
      </c>
      <c r="N33" s="21" t="str">
        <f aca="false">IF(OR($K33="",$I33=""),"",$K33-$I33)</f>
        <v/>
      </c>
      <c r="O33" s="23" t="str">
        <f aca="false">IF(OR($K33="",$K33=0,$N33=""),"",$N33/$K33)</f>
        <v/>
      </c>
      <c r="P33" s="18"/>
      <c r="Q33" s="18"/>
      <c r="R33" s="22"/>
      <c r="S33" s="22"/>
      <c r="T33" s="21" t="str">
        <f aca="false">IF($K33="","",$K33-N($R33)-N($S33))</f>
        <v/>
      </c>
      <c r="U33" s="18"/>
      <c r="V33" s="18"/>
      <c r="W33" s="22"/>
      <c r="X33" s="18"/>
      <c r="Y33" s="18"/>
    </row>
    <row r="34" customFormat="false" ht="15" hidden="false" customHeight="false" outlineLevel="0" collapsed="false">
      <c r="A34" s="18"/>
      <c r="B34" s="17"/>
      <c r="C34" s="18"/>
      <c r="D34" s="24" t="str">
        <f aca="false">IF($C34="","",IFERROR(INDEX('INVENTORY MASTER'!$K$4:$K$63,MATCH($C34,'INVENTORY MASTER'!$A$4:$A$63,0)),""))</f>
        <v/>
      </c>
      <c r="E34" s="24" t="str">
        <f aca="false">IF($C34="","",IFERROR(INDEX('INVENTORY MASTER'!$E$4:$E$63,MATCH($C34,'INVENTORY MASTER'!$A$4:$A$63,0)),""))</f>
        <v/>
      </c>
      <c r="F34" s="18"/>
      <c r="G34" s="18"/>
      <c r="H34" s="18"/>
      <c r="I34" s="21" t="str">
        <f aca="false">IF($C34="","",IFERROR(INDEX('INVENTORY MASTER'!$AI$4:$AI$63,MATCH($C34,'INVENTORY MASTER'!$A$4:$A$63,0)),""))</f>
        <v/>
      </c>
      <c r="J34" s="21" t="str">
        <f aca="false">IF($C34="","",IFERROR(INDEX('INVENTORY MASTER'!$AO$4:$AO$63,MATCH($C34,'INVENTORY MASTER'!$A$4:$A$63,0)),""))</f>
        <v/>
      </c>
      <c r="K34" s="22"/>
      <c r="L34" s="21" t="str">
        <f aca="false">IF(OR($J34="",$K34=""),"",$J34-$K34)</f>
        <v/>
      </c>
      <c r="M34" s="23" t="str">
        <f aca="false">IF(OR($J34="",$L34="",$J34=0),"",$L34/$J34)</f>
        <v/>
      </c>
      <c r="N34" s="21" t="str">
        <f aca="false">IF(OR($K34="",$I34=""),"",$K34-$I34)</f>
        <v/>
      </c>
      <c r="O34" s="23" t="str">
        <f aca="false">IF(OR($K34="",$K34=0,$N34=""),"",$N34/$K34)</f>
        <v/>
      </c>
      <c r="P34" s="18"/>
      <c r="Q34" s="18"/>
      <c r="R34" s="22"/>
      <c r="S34" s="22"/>
      <c r="T34" s="21" t="str">
        <f aca="false">IF($K34="","",$K34-N($R34)-N($S34))</f>
        <v/>
      </c>
      <c r="U34" s="18"/>
      <c r="V34" s="18"/>
      <c r="W34" s="22"/>
      <c r="X34" s="18"/>
      <c r="Y34" s="18"/>
    </row>
    <row r="35" customFormat="false" ht="15" hidden="false" customHeight="false" outlineLevel="0" collapsed="false">
      <c r="A35" s="18"/>
      <c r="B35" s="17"/>
      <c r="C35" s="18"/>
      <c r="D35" s="24" t="str">
        <f aca="false">IF($C35="","",IFERROR(INDEX('INVENTORY MASTER'!$K$4:$K$63,MATCH($C35,'INVENTORY MASTER'!$A$4:$A$63,0)),""))</f>
        <v/>
      </c>
      <c r="E35" s="24" t="str">
        <f aca="false">IF($C35="","",IFERROR(INDEX('INVENTORY MASTER'!$E$4:$E$63,MATCH($C35,'INVENTORY MASTER'!$A$4:$A$63,0)),""))</f>
        <v/>
      </c>
      <c r="F35" s="18"/>
      <c r="G35" s="18"/>
      <c r="H35" s="18"/>
      <c r="I35" s="21" t="str">
        <f aca="false">IF($C35="","",IFERROR(INDEX('INVENTORY MASTER'!$AI$4:$AI$63,MATCH($C35,'INVENTORY MASTER'!$A$4:$A$63,0)),""))</f>
        <v/>
      </c>
      <c r="J35" s="21" t="str">
        <f aca="false">IF($C35="","",IFERROR(INDEX('INVENTORY MASTER'!$AO$4:$AO$63,MATCH($C35,'INVENTORY MASTER'!$A$4:$A$63,0)),""))</f>
        <v/>
      </c>
      <c r="K35" s="22"/>
      <c r="L35" s="21" t="str">
        <f aca="false">IF(OR($J35="",$K35=""),"",$J35-$K35)</f>
        <v/>
      </c>
      <c r="M35" s="23" t="str">
        <f aca="false">IF(OR($J35="",$L35="",$J35=0),"",$L35/$J35)</f>
        <v/>
      </c>
      <c r="N35" s="21" t="str">
        <f aca="false">IF(OR($K35="",$I35=""),"",$K35-$I35)</f>
        <v/>
      </c>
      <c r="O35" s="23" t="str">
        <f aca="false">IF(OR($K35="",$K35=0,$N35=""),"",$N35/$K35)</f>
        <v/>
      </c>
      <c r="P35" s="18"/>
      <c r="Q35" s="18"/>
      <c r="R35" s="22"/>
      <c r="S35" s="22"/>
      <c r="T35" s="21" t="str">
        <f aca="false">IF($K35="","",$K35-N($R35)-N($S35))</f>
        <v/>
      </c>
      <c r="U35" s="18"/>
      <c r="V35" s="18"/>
      <c r="W35" s="22"/>
      <c r="X35" s="18"/>
      <c r="Y35" s="18"/>
    </row>
    <row r="36" customFormat="false" ht="15" hidden="false" customHeight="false" outlineLevel="0" collapsed="false">
      <c r="A36" s="18"/>
      <c r="B36" s="17"/>
      <c r="C36" s="18"/>
      <c r="D36" s="24" t="str">
        <f aca="false">IF($C36="","",IFERROR(INDEX('INVENTORY MASTER'!$K$4:$K$63,MATCH($C36,'INVENTORY MASTER'!$A$4:$A$63,0)),""))</f>
        <v/>
      </c>
      <c r="E36" s="24" t="str">
        <f aca="false">IF($C36="","",IFERROR(INDEX('INVENTORY MASTER'!$E$4:$E$63,MATCH($C36,'INVENTORY MASTER'!$A$4:$A$63,0)),""))</f>
        <v/>
      </c>
      <c r="F36" s="18"/>
      <c r="G36" s="18"/>
      <c r="H36" s="18"/>
      <c r="I36" s="21" t="str">
        <f aca="false">IF($C36="","",IFERROR(INDEX('INVENTORY MASTER'!$AI$4:$AI$63,MATCH($C36,'INVENTORY MASTER'!$A$4:$A$63,0)),""))</f>
        <v/>
      </c>
      <c r="J36" s="21" t="str">
        <f aca="false">IF($C36="","",IFERROR(INDEX('INVENTORY MASTER'!$AO$4:$AO$63,MATCH($C36,'INVENTORY MASTER'!$A$4:$A$63,0)),""))</f>
        <v/>
      </c>
      <c r="K36" s="22"/>
      <c r="L36" s="21" t="str">
        <f aca="false">IF(OR($J36="",$K36=""),"",$J36-$K36)</f>
        <v/>
      </c>
      <c r="M36" s="23" t="str">
        <f aca="false">IF(OR($J36="",$L36="",$J36=0),"",$L36/$J36)</f>
        <v/>
      </c>
      <c r="N36" s="21" t="str">
        <f aca="false">IF(OR($K36="",$I36=""),"",$K36-$I36)</f>
        <v/>
      </c>
      <c r="O36" s="23" t="str">
        <f aca="false">IF(OR($K36="",$K36=0,$N36=""),"",$N36/$K36)</f>
        <v/>
      </c>
      <c r="P36" s="18"/>
      <c r="Q36" s="18"/>
      <c r="R36" s="22"/>
      <c r="S36" s="22"/>
      <c r="T36" s="21" t="str">
        <f aca="false">IF($K36="","",$K36-N($R36)-N($S36))</f>
        <v/>
      </c>
      <c r="U36" s="18"/>
      <c r="V36" s="18"/>
      <c r="W36" s="22"/>
      <c r="X36" s="18"/>
      <c r="Y36" s="18"/>
    </row>
    <row r="37" customFormat="false" ht="15" hidden="false" customHeight="false" outlineLevel="0" collapsed="false">
      <c r="A37" s="18"/>
      <c r="B37" s="17"/>
      <c r="C37" s="18"/>
      <c r="D37" s="24" t="str">
        <f aca="false">IF($C37="","",IFERROR(INDEX('INVENTORY MASTER'!$K$4:$K$63,MATCH($C37,'INVENTORY MASTER'!$A$4:$A$63,0)),""))</f>
        <v/>
      </c>
      <c r="E37" s="24" t="str">
        <f aca="false">IF($C37="","",IFERROR(INDEX('INVENTORY MASTER'!$E$4:$E$63,MATCH($C37,'INVENTORY MASTER'!$A$4:$A$63,0)),""))</f>
        <v/>
      </c>
      <c r="F37" s="18"/>
      <c r="G37" s="18"/>
      <c r="H37" s="18"/>
      <c r="I37" s="21" t="str">
        <f aca="false">IF($C37="","",IFERROR(INDEX('INVENTORY MASTER'!$AI$4:$AI$63,MATCH($C37,'INVENTORY MASTER'!$A$4:$A$63,0)),""))</f>
        <v/>
      </c>
      <c r="J37" s="21" t="str">
        <f aca="false">IF($C37="","",IFERROR(INDEX('INVENTORY MASTER'!$AO$4:$AO$63,MATCH($C37,'INVENTORY MASTER'!$A$4:$A$63,0)),""))</f>
        <v/>
      </c>
      <c r="K37" s="22"/>
      <c r="L37" s="21" t="str">
        <f aca="false">IF(OR($J37="",$K37=""),"",$J37-$K37)</f>
        <v/>
      </c>
      <c r="M37" s="23" t="str">
        <f aca="false">IF(OR($J37="",$L37="",$J37=0),"",$L37/$J37)</f>
        <v/>
      </c>
      <c r="N37" s="21" t="str">
        <f aca="false">IF(OR($K37="",$I37=""),"",$K37-$I37)</f>
        <v/>
      </c>
      <c r="O37" s="23" t="str">
        <f aca="false">IF(OR($K37="",$K37=0,$N37=""),"",$N37/$K37)</f>
        <v/>
      </c>
      <c r="P37" s="18"/>
      <c r="Q37" s="18"/>
      <c r="R37" s="22"/>
      <c r="S37" s="22"/>
      <c r="T37" s="21" t="str">
        <f aca="false">IF($K37="","",$K37-N($R37)-N($S37))</f>
        <v/>
      </c>
      <c r="U37" s="18"/>
      <c r="V37" s="18"/>
      <c r="W37" s="22"/>
      <c r="X37" s="18"/>
      <c r="Y37" s="18"/>
    </row>
    <row r="38" customFormat="false" ht="15" hidden="false" customHeight="false" outlineLevel="0" collapsed="false">
      <c r="A38" s="18"/>
      <c r="B38" s="17"/>
      <c r="C38" s="18"/>
      <c r="D38" s="24" t="str">
        <f aca="false">IF($C38="","",IFERROR(INDEX('INVENTORY MASTER'!$K$4:$K$63,MATCH($C38,'INVENTORY MASTER'!$A$4:$A$63,0)),""))</f>
        <v/>
      </c>
      <c r="E38" s="24" t="str">
        <f aca="false">IF($C38="","",IFERROR(INDEX('INVENTORY MASTER'!$E$4:$E$63,MATCH($C38,'INVENTORY MASTER'!$A$4:$A$63,0)),""))</f>
        <v/>
      </c>
      <c r="F38" s="18"/>
      <c r="G38" s="18"/>
      <c r="H38" s="18"/>
      <c r="I38" s="21" t="str">
        <f aca="false">IF($C38="","",IFERROR(INDEX('INVENTORY MASTER'!$AI$4:$AI$63,MATCH($C38,'INVENTORY MASTER'!$A$4:$A$63,0)),""))</f>
        <v/>
      </c>
      <c r="J38" s="21" t="str">
        <f aca="false">IF($C38="","",IFERROR(INDEX('INVENTORY MASTER'!$AO$4:$AO$63,MATCH($C38,'INVENTORY MASTER'!$A$4:$A$63,0)),""))</f>
        <v/>
      </c>
      <c r="K38" s="22"/>
      <c r="L38" s="21" t="str">
        <f aca="false">IF(OR($J38="",$K38=""),"",$J38-$K38)</f>
        <v/>
      </c>
      <c r="M38" s="23" t="str">
        <f aca="false">IF(OR($J38="",$L38="",$J38=0),"",$L38/$J38)</f>
        <v/>
      </c>
      <c r="N38" s="21" t="str">
        <f aca="false">IF(OR($K38="",$I38=""),"",$K38-$I38)</f>
        <v/>
      </c>
      <c r="O38" s="23" t="str">
        <f aca="false">IF(OR($K38="",$K38=0,$N38=""),"",$N38/$K38)</f>
        <v/>
      </c>
      <c r="P38" s="18"/>
      <c r="Q38" s="18"/>
      <c r="R38" s="22"/>
      <c r="S38" s="22"/>
      <c r="T38" s="21" t="str">
        <f aca="false">IF($K38="","",$K38-N($R38)-N($S38))</f>
        <v/>
      </c>
      <c r="U38" s="18"/>
      <c r="V38" s="18"/>
      <c r="W38" s="22"/>
      <c r="X38" s="18"/>
      <c r="Y38" s="18"/>
    </row>
    <row r="39" customFormat="false" ht="15" hidden="false" customHeight="false" outlineLevel="0" collapsed="false">
      <c r="A39" s="18"/>
      <c r="B39" s="17"/>
      <c r="C39" s="18"/>
      <c r="D39" s="24" t="str">
        <f aca="false">IF($C39="","",IFERROR(INDEX('INVENTORY MASTER'!$K$4:$K$63,MATCH($C39,'INVENTORY MASTER'!$A$4:$A$63,0)),""))</f>
        <v/>
      </c>
      <c r="E39" s="24" t="str">
        <f aca="false">IF($C39="","",IFERROR(INDEX('INVENTORY MASTER'!$E$4:$E$63,MATCH($C39,'INVENTORY MASTER'!$A$4:$A$63,0)),""))</f>
        <v/>
      </c>
      <c r="F39" s="18"/>
      <c r="G39" s="18"/>
      <c r="H39" s="18"/>
      <c r="I39" s="21" t="str">
        <f aca="false">IF($C39="","",IFERROR(INDEX('INVENTORY MASTER'!$AI$4:$AI$63,MATCH($C39,'INVENTORY MASTER'!$A$4:$A$63,0)),""))</f>
        <v/>
      </c>
      <c r="J39" s="21" t="str">
        <f aca="false">IF($C39="","",IFERROR(INDEX('INVENTORY MASTER'!$AO$4:$AO$63,MATCH($C39,'INVENTORY MASTER'!$A$4:$A$63,0)),""))</f>
        <v/>
      </c>
      <c r="K39" s="22"/>
      <c r="L39" s="21" t="str">
        <f aca="false">IF(OR($J39="",$K39=""),"",$J39-$K39)</f>
        <v/>
      </c>
      <c r="M39" s="23" t="str">
        <f aca="false">IF(OR($J39="",$L39="",$J39=0),"",$L39/$J39)</f>
        <v/>
      </c>
      <c r="N39" s="21" t="str">
        <f aca="false">IF(OR($K39="",$I39=""),"",$K39-$I39)</f>
        <v/>
      </c>
      <c r="O39" s="23" t="str">
        <f aca="false">IF(OR($K39="",$K39=0,$N39=""),"",$N39/$K39)</f>
        <v/>
      </c>
      <c r="P39" s="18"/>
      <c r="Q39" s="18"/>
      <c r="R39" s="22"/>
      <c r="S39" s="22"/>
      <c r="T39" s="21" t="str">
        <f aca="false">IF($K39="","",$K39-N($R39)-N($S39))</f>
        <v/>
      </c>
      <c r="U39" s="18"/>
      <c r="V39" s="18"/>
      <c r="W39" s="22"/>
      <c r="X39" s="18"/>
      <c r="Y39" s="18"/>
    </row>
    <row r="40" customFormat="false" ht="15" hidden="false" customHeight="false" outlineLevel="0" collapsed="false">
      <c r="A40" s="18"/>
      <c r="B40" s="17"/>
      <c r="C40" s="18"/>
      <c r="D40" s="24" t="str">
        <f aca="false">IF($C40="","",IFERROR(INDEX('INVENTORY MASTER'!$K$4:$K$63,MATCH($C40,'INVENTORY MASTER'!$A$4:$A$63,0)),""))</f>
        <v/>
      </c>
      <c r="E40" s="24" t="str">
        <f aca="false">IF($C40="","",IFERROR(INDEX('INVENTORY MASTER'!$E$4:$E$63,MATCH($C40,'INVENTORY MASTER'!$A$4:$A$63,0)),""))</f>
        <v/>
      </c>
      <c r="F40" s="18"/>
      <c r="G40" s="18"/>
      <c r="H40" s="18"/>
      <c r="I40" s="21" t="str">
        <f aca="false">IF($C40="","",IFERROR(INDEX('INVENTORY MASTER'!$AI$4:$AI$63,MATCH($C40,'INVENTORY MASTER'!$A$4:$A$63,0)),""))</f>
        <v/>
      </c>
      <c r="J40" s="21" t="str">
        <f aca="false">IF($C40="","",IFERROR(INDEX('INVENTORY MASTER'!$AO$4:$AO$63,MATCH($C40,'INVENTORY MASTER'!$A$4:$A$63,0)),""))</f>
        <v/>
      </c>
      <c r="K40" s="22"/>
      <c r="L40" s="21" t="str">
        <f aca="false">IF(OR($J40="",$K40=""),"",$J40-$K40)</f>
        <v/>
      </c>
      <c r="M40" s="23" t="str">
        <f aca="false">IF(OR($J40="",$L40="",$J40=0),"",$L40/$J40)</f>
        <v/>
      </c>
      <c r="N40" s="21" t="str">
        <f aca="false">IF(OR($K40="",$I40=""),"",$K40-$I40)</f>
        <v/>
      </c>
      <c r="O40" s="23" t="str">
        <f aca="false">IF(OR($K40="",$K40=0,$N40=""),"",$N40/$K40)</f>
        <v/>
      </c>
      <c r="P40" s="18"/>
      <c r="Q40" s="18"/>
      <c r="R40" s="22"/>
      <c r="S40" s="22"/>
      <c r="T40" s="21" t="str">
        <f aca="false">IF($K40="","",$K40-N($R40)-N($S40))</f>
        <v/>
      </c>
      <c r="U40" s="18"/>
      <c r="V40" s="18"/>
      <c r="W40" s="22"/>
      <c r="X40" s="18"/>
      <c r="Y40" s="18"/>
    </row>
    <row r="41" customFormat="false" ht="15" hidden="false" customHeight="false" outlineLevel="0" collapsed="false">
      <c r="A41" s="18"/>
      <c r="B41" s="17"/>
      <c r="C41" s="18"/>
      <c r="D41" s="24" t="str">
        <f aca="false">IF($C41="","",IFERROR(INDEX('INVENTORY MASTER'!$K$4:$K$63,MATCH($C41,'INVENTORY MASTER'!$A$4:$A$63,0)),""))</f>
        <v/>
      </c>
      <c r="E41" s="24" t="str">
        <f aca="false">IF($C41="","",IFERROR(INDEX('INVENTORY MASTER'!$E$4:$E$63,MATCH($C41,'INVENTORY MASTER'!$A$4:$A$63,0)),""))</f>
        <v/>
      </c>
      <c r="F41" s="18"/>
      <c r="G41" s="18"/>
      <c r="H41" s="18"/>
      <c r="I41" s="21" t="str">
        <f aca="false">IF($C41="","",IFERROR(INDEX('INVENTORY MASTER'!$AI$4:$AI$63,MATCH($C41,'INVENTORY MASTER'!$A$4:$A$63,0)),""))</f>
        <v/>
      </c>
      <c r="J41" s="21" t="str">
        <f aca="false">IF($C41="","",IFERROR(INDEX('INVENTORY MASTER'!$AO$4:$AO$63,MATCH($C41,'INVENTORY MASTER'!$A$4:$A$63,0)),""))</f>
        <v/>
      </c>
      <c r="K41" s="22"/>
      <c r="L41" s="21" t="str">
        <f aca="false">IF(OR($J41="",$K41=""),"",$J41-$K41)</f>
        <v/>
      </c>
      <c r="M41" s="23" t="str">
        <f aca="false">IF(OR($J41="",$L41="",$J41=0),"",$L41/$J41)</f>
        <v/>
      </c>
      <c r="N41" s="21" t="str">
        <f aca="false">IF(OR($K41="",$I41=""),"",$K41-$I41)</f>
        <v/>
      </c>
      <c r="O41" s="23" t="str">
        <f aca="false">IF(OR($K41="",$K41=0,$N41=""),"",$N41/$K41)</f>
        <v/>
      </c>
      <c r="P41" s="18"/>
      <c r="Q41" s="18"/>
      <c r="R41" s="22"/>
      <c r="S41" s="22"/>
      <c r="T41" s="21" t="str">
        <f aca="false">IF($K41="","",$K41-N($R41)-N($S41))</f>
        <v/>
      </c>
      <c r="U41" s="18"/>
      <c r="V41" s="18"/>
      <c r="W41" s="22"/>
      <c r="X41" s="18"/>
      <c r="Y41" s="18"/>
    </row>
    <row r="42" customFormat="false" ht="15" hidden="false" customHeight="false" outlineLevel="0" collapsed="false">
      <c r="A42" s="18"/>
      <c r="B42" s="17"/>
      <c r="C42" s="18"/>
      <c r="D42" s="24" t="str">
        <f aca="false">IF($C42="","",IFERROR(INDEX('INVENTORY MASTER'!$K$4:$K$63,MATCH($C42,'INVENTORY MASTER'!$A$4:$A$63,0)),""))</f>
        <v/>
      </c>
      <c r="E42" s="24" t="str">
        <f aca="false">IF($C42="","",IFERROR(INDEX('INVENTORY MASTER'!$E$4:$E$63,MATCH($C42,'INVENTORY MASTER'!$A$4:$A$63,0)),""))</f>
        <v/>
      </c>
      <c r="F42" s="18"/>
      <c r="G42" s="18"/>
      <c r="H42" s="18"/>
      <c r="I42" s="21" t="str">
        <f aca="false">IF($C42="","",IFERROR(INDEX('INVENTORY MASTER'!$AI$4:$AI$63,MATCH($C42,'INVENTORY MASTER'!$A$4:$A$63,0)),""))</f>
        <v/>
      </c>
      <c r="J42" s="21" t="str">
        <f aca="false">IF($C42="","",IFERROR(INDEX('INVENTORY MASTER'!$AO$4:$AO$63,MATCH($C42,'INVENTORY MASTER'!$A$4:$A$63,0)),""))</f>
        <v/>
      </c>
      <c r="K42" s="22"/>
      <c r="L42" s="21" t="str">
        <f aca="false">IF(OR($J42="",$K42=""),"",$J42-$K42)</f>
        <v/>
      </c>
      <c r="M42" s="23" t="str">
        <f aca="false">IF(OR($J42="",$L42="",$J42=0),"",$L42/$J42)</f>
        <v/>
      </c>
      <c r="N42" s="21" t="str">
        <f aca="false">IF(OR($K42="",$I42=""),"",$K42-$I42)</f>
        <v/>
      </c>
      <c r="O42" s="23" t="str">
        <f aca="false">IF(OR($K42="",$K42=0,$N42=""),"",$N42/$K42)</f>
        <v/>
      </c>
      <c r="P42" s="18"/>
      <c r="Q42" s="18"/>
      <c r="R42" s="22"/>
      <c r="S42" s="22"/>
      <c r="T42" s="21" t="str">
        <f aca="false">IF($K42="","",$K42-N($R42)-N($S42))</f>
        <v/>
      </c>
      <c r="U42" s="18"/>
      <c r="V42" s="18"/>
      <c r="W42" s="22"/>
      <c r="X42" s="18"/>
      <c r="Y42" s="18"/>
    </row>
    <row r="43" customFormat="false" ht="15" hidden="false" customHeight="false" outlineLevel="0" collapsed="false">
      <c r="A43" s="18"/>
      <c r="B43" s="17"/>
      <c r="C43" s="18"/>
      <c r="D43" s="24" t="str">
        <f aca="false">IF($C43="","",IFERROR(INDEX('INVENTORY MASTER'!$K$4:$K$63,MATCH($C43,'INVENTORY MASTER'!$A$4:$A$63,0)),""))</f>
        <v/>
      </c>
      <c r="E43" s="24" t="str">
        <f aca="false">IF($C43="","",IFERROR(INDEX('INVENTORY MASTER'!$E$4:$E$63,MATCH($C43,'INVENTORY MASTER'!$A$4:$A$63,0)),""))</f>
        <v/>
      </c>
      <c r="F43" s="18"/>
      <c r="G43" s="18"/>
      <c r="H43" s="18"/>
      <c r="I43" s="21" t="str">
        <f aca="false">IF($C43="","",IFERROR(INDEX('INVENTORY MASTER'!$AI$4:$AI$63,MATCH($C43,'INVENTORY MASTER'!$A$4:$A$63,0)),""))</f>
        <v/>
      </c>
      <c r="J43" s="21" t="str">
        <f aca="false">IF($C43="","",IFERROR(INDEX('INVENTORY MASTER'!$AO$4:$AO$63,MATCH($C43,'INVENTORY MASTER'!$A$4:$A$63,0)),""))</f>
        <v/>
      </c>
      <c r="K43" s="22"/>
      <c r="L43" s="21" t="str">
        <f aca="false">IF(OR($J43="",$K43=""),"",$J43-$K43)</f>
        <v/>
      </c>
      <c r="M43" s="23" t="str">
        <f aca="false">IF(OR($J43="",$L43="",$J43=0),"",$L43/$J43)</f>
        <v/>
      </c>
      <c r="N43" s="21" t="str">
        <f aca="false">IF(OR($K43="",$I43=""),"",$K43-$I43)</f>
        <v/>
      </c>
      <c r="O43" s="23" t="str">
        <f aca="false">IF(OR($K43="",$K43=0,$N43=""),"",$N43/$K43)</f>
        <v/>
      </c>
      <c r="P43" s="18"/>
      <c r="Q43" s="18"/>
      <c r="R43" s="22"/>
      <c r="S43" s="22"/>
      <c r="T43" s="21" t="str">
        <f aca="false">IF($K43="","",$K43-N($R43)-N($S43))</f>
        <v/>
      </c>
      <c r="U43" s="18"/>
      <c r="V43" s="18"/>
      <c r="W43" s="22"/>
      <c r="X43" s="18"/>
      <c r="Y43" s="18"/>
    </row>
    <row r="44" customFormat="false" ht="15" hidden="false" customHeight="false" outlineLevel="0" collapsed="false">
      <c r="A44" s="18"/>
      <c r="B44" s="17"/>
      <c r="C44" s="18"/>
      <c r="D44" s="24" t="str">
        <f aca="false">IF($C44="","",IFERROR(INDEX('INVENTORY MASTER'!$K$4:$K$63,MATCH($C44,'INVENTORY MASTER'!$A$4:$A$63,0)),""))</f>
        <v/>
      </c>
      <c r="E44" s="24" t="str">
        <f aca="false">IF($C44="","",IFERROR(INDEX('INVENTORY MASTER'!$E$4:$E$63,MATCH($C44,'INVENTORY MASTER'!$A$4:$A$63,0)),""))</f>
        <v/>
      </c>
      <c r="F44" s="18"/>
      <c r="G44" s="18"/>
      <c r="H44" s="18"/>
      <c r="I44" s="21" t="str">
        <f aca="false">IF($C44="","",IFERROR(INDEX('INVENTORY MASTER'!$AI$4:$AI$63,MATCH($C44,'INVENTORY MASTER'!$A$4:$A$63,0)),""))</f>
        <v/>
      </c>
      <c r="J44" s="21" t="str">
        <f aca="false">IF($C44="","",IFERROR(INDEX('INVENTORY MASTER'!$AO$4:$AO$63,MATCH($C44,'INVENTORY MASTER'!$A$4:$A$63,0)),""))</f>
        <v/>
      </c>
      <c r="K44" s="22"/>
      <c r="L44" s="21" t="str">
        <f aca="false">IF(OR($J44="",$K44=""),"",$J44-$K44)</f>
        <v/>
      </c>
      <c r="M44" s="23" t="str">
        <f aca="false">IF(OR($J44="",$L44="",$J44=0),"",$L44/$J44)</f>
        <v/>
      </c>
      <c r="N44" s="21" t="str">
        <f aca="false">IF(OR($K44="",$I44=""),"",$K44-$I44)</f>
        <v/>
      </c>
      <c r="O44" s="23" t="str">
        <f aca="false">IF(OR($K44="",$K44=0,$N44=""),"",$N44/$K44)</f>
        <v/>
      </c>
      <c r="P44" s="18"/>
      <c r="Q44" s="18"/>
      <c r="R44" s="22"/>
      <c r="S44" s="22"/>
      <c r="T44" s="21" t="str">
        <f aca="false">IF($K44="","",$K44-N($R44)-N($S44))</f>
        <v/>
      </c>
      <c r="U44" s="18"/>
      <c r="V44" s="18"/>
      <c r="W44" s="22"/>
      <c r="X44" s="18"/>
      <c r="Y44" s="18"/>
    </row>
    <row r="45" customFormat="false" ht="15" hidden="false" customHeight="false" outlineLevel="0" collapsed="false">
      <c r="A45" s="18"/>
      <c r="B45" s="17"/>
      <c r="C45" s="18"/>
      <c r="D45" s="24" t="str">
        <f aca="false">IF($C45="","",IFERROR(INDEX('INVENTORY MASTER'!$K$4:$K$63,MATCH($C45,'INVENTORY MASTER'!$A$4:$A$63,0)),""))</f>
        <v/>
      </c>
      <c r="E45" s="24" t="str">
        <f aca="false">IF($C45="","",IFERROR(INDEX('INVENTORY MASTER'!$E$4:$E$63,MATCH($C45,'INVENTORY MASTER'!$A$4:$A$63,0)),""))</f>
        <v/>
      </c>
      <c r="F45" s="18"/>
      <c r="G45" s="18"/>
      <c r="H45" s="18"/>
      <c r="I45" s="21" t="str">
        <f aca="false">IF($C45="","",IFERROR(INDEX('INVENTORY MASTER'!$AI$4:$AI$63,MATCH($C45,'INVENTORY MASTER'!$A$4:$A$63,0)),""))</f>
        <v/>
      </c>
      <c r="J45" s="21" t="str">
        <f aca="false">IF($C45="","",IFERROR(INDEX('INVENTORY MASTER'!$AO$4:$AO$63,MATCH($C45,'INVENTORY MASTER'!$A$4:$A$63,0)),""))</f>
        <v/>
      </c>
      <c r="K45" s="22"/>
      <c r="L45" s="21" t="str">
        <f aca="false">IF(OR($J45="",$K45=""),"",$J45-$K45)</f>
        <v/>
      </c>
      <c r="M45" s="23" t="str">
        <f aca="false">IF(OR($J45="",$L45="",$J45=0),"",$L45/$J45)</f>
        <v/>
      </c>
      <c r="N45" s="21" t="str">
        <f aca="false">IF(OR($K45="",$I45=""),"",$K45-$I45)</f>
        <v/>
      </c>
      <c r="O45" s="23" t="str">
        <f aca="false">IF(OR($K45="",$K45=0,$N45=""),"",$N45/$K45)</f>
        <v/>
      </c>
      <c r="P45" s="18"/>
      <c r="Q45" s="18"/>
      <c r="R45" s="22"/>
      <c r="S45" s="22"/>
      <c r="T45" s="21" t="str">
        <f aca="false">IF($K45="","",$K45-N($R45)-N($S45))</f>
        <v/>
      </c>
      <c r="U45" s="18"/>
      <c r="V45" s="18"/>
      <c r="W45" s="22"/>
      <c r="X45" s="18"/>
      <c r="Y45" s="18"/>
    </row>
    <row r="46" customFormat="false" ht="15" hidden="false" customHeight="false" outlineLevel="0" collapsed="false">
      <c r="A46" s="18"/>
      <c r="B46" s="17"/>
      <c r="C46" s="18"/>
      <c r="D46" s="24" t="str">
        <f aca="false">IF($C46="","",IFERROR(INDEX('INVENTORY MASTER'!$K$4:$K$63,MATCH($C46,'INVENTORY MASTER'!$A$4:$A$63,0)),""))</f>
        <v/>
      </c>
      <c r="E46" s="24" t="str">
        <f aca="false">IF($C46="","",IFERROR(INDEX('INVENTORY MASTER'!$E$4:$E$63,MATCH($C46,'INVENTORY MASTER'!$A$4:$A$63,0)),""))</f>
        <v/>
      </c>
      <c r="F46" s="18"/>
      <c r="G46" s="18"/>
      <c r="H46" s="18"/>
      <c r="I46" s="21" t="str">
        <f aca="false">IF($C46="","",IFERROR(INDEX('INVENTORY MASTER'!$AI$4:$AI$63,MATCH($C46,'INVENTORY MASTER'!$A$4:$A$63,0)),""))</f>
        <v/>
      </c>
      <c r="J46" s="21" t="str">
        <f aca="false">IF($C46="","",IFERROR(INDEX('INVENTORY MASTER'!$AO$4:$AO$63,MATCH($C46,'INVENTORY MASTER'!$A$4:$A$63,0)),""))</f>
        <v/>
      </c>
      <c r="K46" s="22"/>
      <c r="L46" s="21" t="str">
        <f aca="false">IF(OR($J46="",$K46=""),"",$J46-$K46)</f>
        <v/>
      </c>
      <c r="M46" s="23" t="str">
        <f aca="false">IF(OR($J46="",$L46="",$J46=0),"",$L46/$J46)</f>
        <v/>
      </c>
      <c r="N46" s="21" t="str">
        <f aca="false">IF(OR($K46="",$I46=""),"",$K46-$I46)</f>
        <v/>
      </c>
      <c r="O46" s="23" t="str">
        <f aca="false">IF(OR($K46="",$K46=0,$N46=""),"",$N46/$K46)</f>
        <v/>
      </c>
      <c r="P46" s="18"/>
      <c r="Q46" s="18"/>
      <c r="R46" s="22"/>
      <c r="S46" s="22"/>
      <c r="T46" s="21" t="str">
        <f aca="false">IF($K46="","",$K46-N($R46)-N($S46))</f>
        <v/>
      </c>
      <c r="U46" s="18"/>
      <c r="V46" s="18"/>
      <c r="W46" s="22"/>
      <c r="X46" s="18"/>
      <c r="Y46" s="18"/>
    </row>
    <row r="47" customFormat="false" ht="15" hidden="false" customHeight="false" outlineLevel="0" collapsed="false">
      <c r="A47" s="18"/>
      <c r="B47" s="17"/>
      <c r="C47" s="18"/>
      <c r="D47" s="24" t="str">
        <f aca="false">IF($C47="","",IFERROR(INDEX('INVENTORY MASTER'!$K$4:$K$63,MATCH($C47,'INVENTORY MASTER'!$A$4:$A$63,0)),""))</f>
        <v/>
      </c>
      <c r="E47" s="24" t="str">
        <f aca="false">IF($C47="","",IFERROR(INDEX('INVENTORY MASTER'!$E$4:$E$63,MATCH($C47,'INVENTORY MASTER'!$A$4:$A$63,0)),""))</f>
        <v/>
      </c>
      <c r="F47" s="18"/>
      <c r="G47" s="18"/>
      <c r="H47" s="18"/>
      <c r="I47" s="21" t="str">
        <f aca="false">IF($C47="","",IFERROR(INDEX('INVENTORY MASTER'!$AI$4:$AI$63,MATCH($C47,'INVENTORY MASTER'!$A$4:$A$63,0)),""))</f>
        <v/>
      </c>
      <c r="J47" s="21" t="str">
        <f aca="false">IF($C47="","",IFERROR(INDEX('INVENTORY MASTER'!$AO$4:$AO$63,MATCH($C47,'INVENTORY MASTER'!$A$4:$A$63,0)),""))</f>
        <v/>
      </c>
      <c r="K47" s="22"/>
      <c r="L47" s="21" t="str">
        <f aca="false">IF(OR($J47="",$K47=""),"",$J47-$K47)</f>
        <v/>
      </c>
      <c r="M47" s="23" t="str">
        <f aca="false">IF(OR($J47="",$L47="",$J47=0),"",$L47/$J47)</f>
        <v/>
      </c>
      <c r="N47" s="21" t="str">
        <f aca="false">IF(OR($K47="",$I47=""),"",$K47-$I47)</f>
        <v/>
      </c>
      <c r="O47" s="23" t="str">
        <f aca="false">IF(OR($K47="",$K47=0,$N47=""),"",$N47/$K47)</f>
        <v/>
      </c>
      <c r="P47" s="18"/>
      <c r="Q47" s="18"/>
      <c r="R47" s="22"/>
      <c r="S47" s="22"/>
      <c r="T47" s="21" t="str">
        <f aca="false">IF($K47="","",$K47-N($R47)-N($S47))</f>
        <v/>
      </c>
      <c r="U47" s="18"/>
      <c r="V47" s="18"/>
      <c r="W47" s="22"/>
      <c r="X47" s="18"/>
      <c r="Y47" s="18"/>
    </row>
    <row r="48" customFormat="false" ht="15" hidden="false" customHeight="false" outlineLevel="0" collapsed="false">
      <c r="A48" s="18"/>
      <c r="B48" s="17"/>
      <c r="C48" s="18"/>
      <c r="D48" s="24" t="str">
        <f aca="false">IF($C48="","",IFERROR(INDEX('INVENTORY MASTER'!$K$4:$K$63,MATCH($C48,'INVENTORY MASTER'!$A$4:$A$63,0)),""))</f>
        <v/>
      </c>
      <c r="E48" s="24" t="str">
        <f aca="false">IF($C48="","",IFERROR(INDEX('INVENTORY MASTER'!$E$4:$E$63,MATCH($C48,'INVENTORY MASTER'!$A$4:$A$63,0)),""))</f>
        <v/>
      </c>
      <c r="F48" s="18"/>
      <c r="G48" s="18"/>
      <c r="H48" s="18"/>
      <c r="I48" s="21" t="str">
        <f aca="false">IF($C48="","",IFERROR(INDEX('INVENTORY MASTER'!$AI$4:$AI$63,MATCH($C48,'INVENTORY MASTER'!$A$4:$A$63,0)),""))</f>
        <v/>
      </c>
      <c r="J48" s="21" t="str">
        <f aca="false">IF($C48="","",IFERROR(INDEX('INVENTORY MASTER'!$AO$4:$AO$63,MATCH($C48,'INVENTORY MASTER'!$A$4:$A$63,0)),""))</f>
        <v/>
      </c>
      <c r="K48" s="22"/>
      <c r="L48" s="21" t="str">
        <f aca="false">IF(OR($J48="",$K48=""),"",$J48-$K48)</f>
        <v/>
      </c>
      <c r="M48" s="23" t="str">
        <f aca="false">IF(OR($J48="",$L48="",$J48=0),"",$L48/$J48)</f>
        <v/>
      </c>
      <c r="N48" s="21" t="str">
        <f aca="false">IF(OR($K48="",$I48=""),"",$K48-$I48)</f>
        <v/>
      </c>
      <c r="O48" s="23" t="str">
        <f aca="false">IF(OR($K48="",$K48=0,$N48=""),"",$N48/$K48)</f>
        <v/>
      </c>
      <c r="P48" s="18"/>
      <c r="Q48" s="18"/>
      <c r="R48" s="22"/>
      <c r="S48" s="22"/>
      <c r="T48" s="21" t="str">
        <f aca="false">IF($K48="","",$K48-N($R48)-N($S48))</f>
        <v/>
      </c>
      <c r="U48" s="18"/>
      <c r="V48" s="18"/>
      <c r="W48" s="22"/>
      <c r="X48" s="18"/>
      <c r="Y48" s="18"/>
    </row>
    <row r="49" customFormat="false" ht="15" hidden="false" customHeight="false" outlineLevel="0" collapsed="false">
      <c r="A49" s="18"/>
      <c r="B49" s="17"/>
      <c r="C49" s="18"/>
      <c r="D49" s="24" t="str">
        <f aca="false">IF($C49="","",IFERROR(INDEX('INVENTORY MASTER'!$K$4:$K$63,MATCH($C49,'INVENTORY MASTER'!$A$4:$A$63,0)),""))</f>
        <v/>
      </c>
      <c r="E49" s="24" t="str">
        <f aca="false">IF($C49="","",IFERROR(INDEX('INVENTORY MASTER'!$E$4:$E$63,MATCH($C49,'INVENTORY MASTER'!$A$4:$A$63,0)),""))</f>
        <v/>
      </c>
      <c r="F49" s="18"/>
      <c r="G49" s="18"/>
      <c r="H49" s="18"/>
      <c r="I49" s="21" t="str">
        <f aca="false">IF($C49="","",IFERROR(INDEX('INVENTORY MASTER'!$AI$4:$AI$63,MATCH($C49,'INVENTORY MASTER'!$A$4:$A$63,0)),""))</f>
        <v/>
      </c>
      <c r="J49" s="21" t="str">
        <f aca="false">IF($C49="","",IFERROR(INDEX('INVENTORY MASTER'!$AO$4:$AO$63,MATCH($C49,'INVENTORY MASTER'!$A$4:$A$63,0)),""))</f>
        <v/>
      </c>
      <c r="K49" s="22"/>
      <c r="L49" s="21" t="str">
        <f aca="false">IF(OR($J49="",$K49=""),"",$J49-$K49)</f>
        <v/>
      </c>
      <c r="M49" s="23" t="str">
        <f aca="false">IF(OR($J49="",$L49="",$J49=0),"",$L49/$J49)</f>
        <v/>
      </c>
      <c r="N49" s="21" t="str">
        <f aca="false">IF(OR($K49="",$I49=""),"",$K49-$I49)</f>
        <v/>
      </c>
      <c r="O49" s="23" t="str">
        <f aca="false">IF(OR($K49="",$K49=0,$N49=""),"",$N49/$K49)</f>
        <v/>
      </c>
      <c r="P49" s="18"/>
      <c r="Q49" s="18"/>
      <c r="R49" s="22"/>
      <c r="S49" s="22"/>
      <c r="T49" s="21" t="str">
        <f aca="false">IF($K49="","",$K49-N($R49)-N($S49))</f>
        <v/>
      </c>
      <c r="U49" s="18"/>
      <c r="V49" s="18"/>
      <c r="W49" s="22"/>
      <c r="X49" s="18"/>
      <c r="Y49" s="18"/>
    </row>
    <row r="50" customFormat="false" ht="15" hidden="false" customHeight="false" outlineLevel="0" collapsed="false">
      <c r="A50" s="18"/>
      <c r="B50" s="17"/>
      <c r="C50" s="18"/>
      <c r="D50" s="24" t="str">
        <f aca="false">IF($C50="","",IFERROR(INDEX('INVENTORY MASTER'!$K$4:$K$63,MATCH($C50,'INVENTORY MASTER'!$A$4:$A$63,0)),""))</f>
        <v/>
      </c>
      <c r="E50" s="24" t="str">
        <f aca="false">IF($C50="","",IFERROR(INDEX('INVENTORY MASTER'!$E$4:$E$63,MATCH($C50,'INVENTORY MASTER'!$A$4:$A$63,0)),""))</f>
        <v/>
      </c>
      <c r="F50" s="18"/>
      <c r="G50" s="18"/>
      <c r="H50" s="18"/>
      <c r="I50" s="21" t="str">
        <f aca="false">IF($C50="","",IFERROR(INDEX('INVENTORY MASTER'!$AI$4:$AI$63,MATCH($C50,'INVENTORY MASTER'!$A$4:$A$63,0)),""))</f>
        <v/>
      </c>
      <c r="J50" s="21" t="str">
        <f aca="false">IF($C50="","",IFERROR(INDEX('INVENTORY MASTER'!$AO$4:$AO$63,MATCH($C50,'INVENTORY MASTER'!$A$4:$A$63,0)),""))</f>
        <v/>
      </c>
      <c r="K50" s="22"/>
      <c r="L50" s="21" t="str">
        <f aca="false">IF(OR($J50="",$K50=""),"",$J50-$K50)</f>
        <v/>
      </c>
      <c r="M50" s="23" t="str">
        <f aca="false">IF(OR($J50="",$L50="",$J50=0),"",$L50/$J50)</f>
        <v/>
      </c>
      <c r="N50" s="21" t="str">
        <f aca="false">IF(OR($K50="",$I50=""),"",$K50-$I50)</f>
        <v/>
      </c>
      <c r="O50" s="23" t="str">
        <f aca="false">IF(OR($K50="",$K50=0,$N50=""),"",$N50/$K50)</f>
        <v/>
      </c>
      <c r="P50" s="18"/>
      <c r="Q50" s="18"/>
      <c r="R50" s="22"/>
      <c r="S50" s="22"/>
      <c r="T50" s="21" t="str">
        <f aca="false">IF($K50="","",$K50-N($R50)-N($S50))</f>
        <v/>
      </c>
      <c r="U50" s="18"/>
      <c r="V50" s="18"/>
      <c r="W50" s="22"/>
      <c r="X50" s="18"/>
      <c r="Y50" s="18"/>
    </row>
    <row r="51" customFormat="false" ht="15" hidden="false" customHeight="false" outlineLevel="0" collapsed="false">
      <c r="A51" s="18"/>
      <c r="B51" s="17"/>
      <c r="C51" s="18"/>
      <c r="D51" s="24" t="str">
        <f aca="false">IF($C51="","",IFERROR(INDEX('INVENTORY MASTER'!$K$4:$K$63,MATCH($C51,'INVENTORY MASTER'!$A$4:$A$63,0)),""))</f>
        <v/>
      </c>
      <c r="E51" s="24" t="str">
        <f aca="false">IF($C51="","",IFERROR(INDEX('INVENTORY MASTER'!$E$4:$E$63,MATCH($C51,'INVENTORY MASTER'!$A$4:$A$63,0)),""))</f>
        <v/>
      </c>
      <c r="F51" s="18"/>
      <c r="G51" s="18"/>
      <c r="H51" s="18"/>
      <c r="I51" s="21" t="str">
        <f aca="false">IF($C51="","",IFERROR(INDEX('INVENTORY MASTER'!$AI$4:$AI$63,MATCH($C51,'INVENTORY MASTER'!$A$4:$A$63,0)),""))</f>
        <v/>
      </c>
      <c r="J51" s="21" t="str">
        <f aca="false">IF($C51="","",IFERROR(INDEX('INVENTORY MASTER'!$AO$4:$AO$63,MATCH($C51,'INVENTORY MASTER'!$A$4:$A$63,0)),""))</f>
        <v/>
      </c>
      <c r="K51" s="22"/>
      <c r="L51" s="21" t="str">
        <f aca="false">IF(OR($J51="",$K51=""),"",$J51-$K51)</f>
        <v/>
      </c>
      <c r="M51" s="23" t="str">
        <f aca="false">IF(OR($J51="",$L51="",$J51=0),"",$L51/$J51)</f>
        <v/>
      </c>
      <c r="N51" s="21" t="str">
        <f aca="false">IF(OR($K51="",$I51=""),"",$K51-$I51)</f>
        <v/>
      </c>
      <c r="O51" s="23" t="str">
        <f aca="false">IF(OR($K51="",$K51=0,$N51=""),"",$N51/$K51)</f>
        <v/>
      </c>
      <c r="P51" s="18"/>
      <c r="Q51" s="18"/>
      <c r="R51" s="22"/>
      <c r="S51" s="22"/>
      <c r="T51" s="21" t="str">
        <f aca="false">IF($K51="","",$K51-N($R51)-N($S51))</f>
        <v/>
      </c>
      <c r="U51" s="18"/>
      <c r="V51" s="18"/>
      <c r="W51" s="22"/>
      <c r="X51" s="18"/>
      <c r="Y51" s="18"/>
    </row>
    <row r="52" customFormat="false" ht="15" hidden="false" customHeight="false" outlineLevel="0" collapsed="false">
      <c r="A52" s="18"/>
      <c r="B52" s="17"/>
      <c r="C52" s="18"/>
      <c r="D52" s="24" t="str">
        <f aca="false">IF($C52="","",IFERROR(INDEX('INVENTORY MASTER'!$K$4:$K$63,MATCH($C52,'INVENTORY MASTER'!$A$4:$A$63,0)),""))</f>
        <v/>
      </c>
      <c r="E52" s="24" t="str">
        <f aca="false">IF($C52="","",IFERROR(INDEX('INVENTORY MASTER'!$E$4:$E$63,MATCH($C52,'INVENTORY MASTER'!$A$4:$A$63,0)),""))</f>
        <v/>
      </c>
      <c r="F52" s="18"/>
      <c r="G52" s="18"/>
      <c r="H52" s="18"/>
      <c r="I52" s="21" t="str">
        <f aca="false">IF($C52="","",IFERROR(INDEX('INVENTORY MASTER'!$AI$4:$AI$63,MATCH($C52,'INVENTORY MASTER'!$A$4:$A$63,0)),""))</f>
        <v/>
      </c>
      <c r="J52" s="21" t="str">
        <f aca="false">IF($C52="","",IFERROR(INDEX('INVENTORY MASTER'!$AO$4:$AO$63,MATCH($C52,'INVENTORY MASTER'!$A$4:$A$63,0)),""))</f>
        <v/>
      </c>
      <c r="K52" s="22"/>
      <c r="L52" s="21" t="str">
        <f aca="false">IF(OR($J52="",$K52=""),"",$J52-$K52)</f>
        <v/>
      </c>
      <c r="M52" s="23" t="str">
        <f aca="false">IF(OR($J52="",$L52="",$J52=0),"",$L52/$J52)</f>
        <v/>
      </c>
      <c r="N52" s="21" t="str">
        <f aca="false">IF(OR($K52="",$I52=""),"",$K52-$I52)</f>
        <v/>
      </c>
      <c r="O52" s="23" t="str">
        <f aca="false">IF(OR($K52="",$K52=0,$N52=""),"",$N52/$K52)</f>
        <v/>
      </c>
      <c r="P52" s="18"/>
      <c r="Q52" s="18"/>
      <c r="R52" s="22"/>
      <c r="S52" s="22"/>
      <c r="T52" s="21" t="str">
        <f aca="false">IF($K52="","",$K52-N($R52)-N($S52))</f>
        <v/>
      </c>
      <c r="U52" s="18"/>
      <c r="V52" s="18"/>
      <c r="W52" s="22"/>
      <c r="X52" s="18"/>
      <c r="Y52" s="18"/>
    </row>
    <row r="53" customFormat="false" ht="15" hidden="false" customHeight="false" outlineLevel="0" collapsed="false">
      <c r="A53" s="18"/>
      <c r="B53" s="17"/>
      <c r="C53" s="18"/>
      <c r="D53" s="24" t="str">
        <f aca="false">IF($C53="","",IFERROR(INDEX('INVENTORY MASTER'!$K$4:$K$63,MATCH($C53,'INVENTORY MASTER'!$A$4:$A$63,0)),""))</f>
        <v/>
      </c>
      <c r="E53" s="24" t="str">
        <f aca="false">IF($C53="","",IFERROR(INDEX('INVENTORY MASTER'!$E$4:$E$63,MATCH($C53,'INVENTORY MASTER'!$A$4:$A$63,0)),""))</f>
        <v/>
      </c>
      <c r="F53" s="18"/>
      <c r="G53" s="18"/>
      <c r="H53" s="18"/>
      <c r="I53" s="21" t="str">
        <f aca="false">IF($C53="","",IFERROR(INDEX('INVENTORY MASTER'!$AI$4:$AI$63,MATCH($C53,'INVENTORY MASTER'!$A$4:$A$63,0)),""))</f>
        <v/>
      </c>
      <c r="J53" s="21" t="str">
        <f aca="false">IF($C53="","",IFERROR(INDEX('INVENTORY MASTER'!$AO$4:$AO$63,MATCH($C53,'INVENTORY MASTER'!$A$4:$A$63,0)),""))</f>
        <v/>
      </c>
      <c r="K53" s="22"/>
      <c r="L53" s="21" t="str">
        <f aca="false">IF(OR($J53="",$K53=""),"",$J53-$K53)</f>
        <v/>
      </c>
      <c r="M53" s="23" t="str">
        <f aca="false">IF(OR($J53="",$L53="",$J53=0),"",$L53/$J53)</f>
        <v/>
      </c>
      <c r="N53" s="21" t="str">
        <f aca="false">IF(OR($K53="",$I53=""),"",$K53-$I53)</f>
        <v/>
      </c>
      <c r="O53" s="23" t="str">
        <f aca="false">IF(OR($K53="",$K53=0,$N53=""),"",$N53/$K53)</f>
        <v/>
      </c>
      <c r="P53" s="18"/>
      <c r="Q53" s="18"/>
      <c r="R53" s="22"/>
      <c r="S53" s="22"/>
      <c r="T53" s="21" t="str">
        <f aca="false">IF($K53="","",$K53-N($R53)-N($S53))</f>
        <v/>
      </c>
      <c r="U53" s="18"/>
      <c r="V53" s="18"/>
      <c r="W53" s="22"/>
      <c r="X53" s="18"/>
      <c r="Y53" s="18"/>
    </row>
    <row r="54" customFormat="false" ht="15" hidden="false" customHeight="false" outlineLevel="0" collapsed="false">
      <c r="A54" s="18"/>
      <c r="B54" s="17"/>
      <c r="C54" s="18"/>
      <c r="D54" s="24" t="str">
        <f aca="false">IF($C54="","",IFERROR(INDEX('INVENTORY MASTER'!$K$4:$K$63,MATCH($C54,'INVENTORY MASTER'!$A$4:$A$63,0)),""))</f>
        <v/>
      </c>
      <c r="E54" s="24" t="str">
        <f aca="false">IF($C54="","",IFERROR(INDEX('INVENTORY MASTER'!$E$4:$E$63,MATCH($C54,'INVENTORY MASTER'!$A$4:$A$63,0)),""))</f>
        <v/>
      </c>
      <c r="F54" s="18"/>
      <c r="G54" s="18"/>
      <c r="H54" s="18"/>
      <c r="I54" s="21" t="str">
        <f aca="false">IF($C54="","",IFERROR(INDEX('INVENTORY MASTER'!$AI$4:$AI$63,MATCH($C54,'INVENTORY MASTER'!$A$4:$A$63,0)),""))</f>
        <v/>
      </c>
      <c r="J54" s="21" t="str">
        <f aca="false">IF($C54="","",IFERROR(INDEX('INVENTORY MASTER'!$AO$4:$AO$63,MATCH($C54,'INVENTORY MASTER'!$A$4:$A$63,0)),""))</f>
        <v/>
      </c>
      <c r="K54" s="22"/>
      <c r="L54" s="21" t="str">
        <f aca="false">IF(OR($J54="",$K54=""),"",$J54-$K54)</f>
        <v/>
      </c>
      <c r="M54" s="23" t="str">
        <f aca="false">IF(OR($J54="",$L54="",$J54=0),"",$L54/$J54)</f>
        <v/>
      </c>
      <c r="N54" s="21" t="str">
        <f aca="false">IF(OR($K54="",$I54=""),"",$K54-$I54)</f>
        <v/>
      </c>
      <c r="O54" s="23" t="str">
        <f aca="false">IF(OR($K54="",$K54=0,$N54=""),"",$N54/$K54)</f>
        <v/>
      </c>
      <c r="P54" s="18"/>
      <c r="Q54" s="18"/>
      <c r="R54" s="22"/>
      <c r="S54" s="22"/>
      <c r="T54" s="21" t="str">
        <f aca="false">IF($K54="","",$K54-N($R54)-N($S54))</f>
        <v/>
      </c>
      <c r="U54" s="18"/>
      <c r="V54" s="18"/>
      <c r="W54" s="22"/>
      <c r="X54" s="18"/>
      <c r="Y54" s="18"/>
    </row>
    <row r="55" customFormat="false" ht="15" hidden="false" customHeight="false" outlineLevel="0" collapsed="false">
      <c r="A55" s="18"/>
      <c r="B55" s="17"/>
      <c r="C55" s="18"/>
      <c r="D55" s="24" t="str">
        <f aca="false">IF($C55="","",IFERROR(INDEX('INVENTORY MASTER'!$K$4:$K$63,MATCH($C55,'INVENTORY MASTER'!$A$4:$A$63,0)),""))</f>
        <v/>
      </c>
      <c r="E55" s="24" t="str">
        <f aca="false">IF($C55="","",IFERROR(INDEX('INVENTORY MASTER'!$E$4:$E$63,MATCH($C55,'INVENTORY MASTER'!$A$4:$A$63,0)),""))</f>
        <v/>
      </c>
      <c r="F55" s="18"/>
      <c r="G55" s="18"/>
      <c r="H55" s="18"/>
      <c r="I55" s="21" t="str">
        <f aca="false">IF($C55="","",IFERROR(INDEX('INVENTORY MASTER'!$AI$4:$AI$63,MATCH($C55,'INVENTORY MASTER'!$A$4:$A$63,0)),""))</f>
        <v/>
      </c>
      <c r="J55" s="21" t="str">
        <f aca="false">IF($C55="","",IFERROR(INDEX('INVENTORY MASTER'!$AO$4:$AO$63,MATCH($C55,'INVENTORY MASTER'!$A$4:$A$63,0)),""))</f>
        <v/>
      </c>
      <c r="K55" s="22"/>
      <c r="L55" s="21" t="str">
        <f aca="false">IF(OR($J55="",$K55=""),"",$J55-$K55)</f>
        <v/>
      </c>
      <c r="M55" s="23" t="str">
        <f aca="false">IF(OR($J55="",$L55="",$J55=0),"",$L55/$J55)</f>
        <v/>
      </c>
      <c r="N55" s="21" t="str">
        <f aca="false">IF(OR($K55="",$I55=""),"",$K55-$I55)</f>
        <v/>
      </c>
      <c r="O55" s="23" t="str">
        <f aca="false">IF(OR($K55="",$K55=0,$N55=""),"",$N55/$K55)</f>
        <v/>
      </c>
      <c r="P55" s="18"/>
      <c r="Q55" s="18"/>
      <c r="R55" s="22"/>
      <c r="S55" s="22"/>
      <c r="T55" s="21" t="str">
        <f aca="false">IF($K55="","",$K55-N($R55)-N($S55))</f>
        <v/>
      </c>
      <c r="U55" s="18"/>
      <c r="V55" s="18"/>
      <c r="W55" s="22"/>
      <c r="X55" s="18"/>
      <c r="Y55" s="18"/>
    </row>
    <row r="56" customFormat="false" ht="15" hidden="false" customHeight="false" outlineLevel="0" collapsed="false">
      <c r="A56" s="18"/>
      <c r="B56" s="17"/>
      <c r="C56" s="18"/>
      <c r="D56" s="24" t="str">
        <f aca="false">IF($C56="","",IFERROR(INDEX('INVENTORY MASTER'!$K$4:$K$63,MATCH($C56,'INVENTORY MASTER'!$A$4:$A$63,0)),""))</f>
        <v/>
      </c>
      <c r="E56" s="24" t="str">
        <f aca="false">IF($C56="","",IFERROR(INDEX('INVENTORY MASTER'!$E$4:$E$63,MATCH($C56,'INVENTORY MASTER'!$A$4:$A$63,0)),""))</f>
        <v/>
      </c>
      <c r="F56" s="18"/>
      <c r="G56" s="18"/>
      <c r="H56" s="18"/>
      <c r="I56" s="21" t="str">
        <f aca="false">IF($C56="","",IFERROR(INDEX('INVENTORY MASTER'!$AI$4:$AI$63,MATCH($C56,'INVENTORY MASTER'!$A$4:$A$63,0)),""))</f>
        <v/>
      </c>
      <c r="J56" s="21" t="str">
        <f aca="false">IF($C56="","",IFERROR(INDEX('INVENTORY MASTER'!$AO$4:$AO$63,MATCH($C56,'INVENTORY MASTER'!$A$4:$A$63,0)),""))</f>
        <v/>
      </c>
      <c r="K56" s="22"/>
      <c r="L56" s="21" t="str">
        <f aca="false">IF(OR($J56="",$K56=""),"",$J56-$K56)</f>
        <v/>
      </c>
      <c r="M56" s="23" t="str">
        <f aca="false">IF(OR($J56="",$L56="",$J56=0),"",$L56/$J56)</f>
        <v/>
      </c>
      <c r="N56" s="21" t="str">
        <f aca="false">IF(OR($K56="",$I56=""),"",$K56-$I56)</f>
        <v/>
      </c>
      <c r="O56" s="23" t="str">
        <f aca="false">IF(OR($K56="",$K56=0,$N56=""),"",$N56/$K56)</f>
        <v/>
      </c>
      <c r="P56" s="18"/>
      <c r="Q56" s="18"/>
      <c r="R56" s="22"/>
      <c r="S56" s="22"/>
      <c r="T56" s="21" t="str">
        <f aca="false">IF($K56="","",$K56-N($R56)-N($S56))</f>
        <v/>
      </c>
      <c r="U56" s="18"/>
      <c r="V56" s="18"/>
      <c r="W56" s="22"/>
      <c r="X56" s="18"/>
      <c r="Y56" s="18"/>
    </row>
    <row r="57" customFormat="false" ht="15" hidden="false" customHeight="false" outlineLevel="0" collapsed="false">
      <c r="A57" s="18"/>
      <c r="B57" s="17"/>
      <c r="C57" s="18"/>
      <c r="D57" s="24" t="str">
        <f aca="false">IF($C57="","",IFERROR(INDEX('INVENTORY MASTER'!$K$4:$K$63,MATCH($C57,'INVENTORY MASTER'!$A$4:$A$63,0)),""))</f>
        <v/>
      </c>
      <c r="E57" s="24" t="str">
        <f aca="false">IF($C57="","",IFERROR(INDEX('INVENTORY MASTER'!$E$4:$E$63,MATCH($C57,'INVENTORY MASTER'!$A$4:$A$63,0)),""))</f>
        <v/>
      </c>
      <c r="F57" s="18"/>
      <c r="G57" s="18"/>
      <c r="H57" s="18"/>
      <c r="I57" s="21" t="str">
        <f aca="false">IF($C57="","",IFERROR(INDEX('INVENTORY MASTER'!$AI$4:$AI$63,MATCH($C57,'INVENTORY MASTER'!$A$4:$A$63,0)),""))</f>
        <v/>
      </c>
      <c r="J57" s="21" t="str">
        <f aca="false">IF($C57="","",IFERROR(INDEX('INVENTORY MASTER'!$AO$4:$AO$63,MATCH($C57,'INVENTORY MASTER'!$A$4:$A$63,0)),""))</f>
        <v/>
      </c>
      <c r="K57" s="22"/>
      <c r="L57" s="21" t="str">
        <f aca="false">IF(OR($J57="",$K57=""),"",$J57-$K57)</f>
        <v/>
      </c>
      <c r="M57" s="23" t="str">
        <f aca="false">IF(OR($J57="",$L57="",$J57=0),"",$L57/$J57)</f>
        <v/>
      </c>
      <c r="N57" s="21" t="str">
        <f aca="false">IF(OR($K57="",$I57=""),"",$K57-$I57)</f>
        <v/>
      </c>
      <c r="O57" s="23" t="str">
        <f aca="false">IF(OR($K57="",$K57=0,$N57=""),"",$N57/$K57)</f>
        <v/>
      </c>
      <c r="P57" s="18"/>
      <c r="Q57" s="18"/>
      <c r="R57" s="22"/>
      <c r="S57" s="22"/>
      <c r="T57" s="21" t="str">
        <f aca="false">IF($K57="","",$K57-N($R57)-N($S57))</f>
        <v/>
      </c>
      <c r="U57" s="18"/>
      <c r="V57" s="18"/>
      <c r="W57" s="22"/>
      <c r="X57" s="18"/>
      <c r="Y57" s="18"/>
    </row>
    <row r="58" customFormat="false" ht="15" hidden="false" customHeight="false" outlineLevel="0" collapsed="false">
      <c r="A58" s="18"/>
      <c r="B58" s="17"/>
      <c r="C58" s="18"/>
      <c r="D58" s="24" t="str">
        <f aca="false">IF($C58="","",IFERROR(INDEX('INVENTORY MASTER'!$K$4:$K$63,MATCH($C58,'INVENTORY MASTER'!$A$4:$A$63,0)),""))</f>
        <v/>
      </c>
      <c r="E58" s="24" t="str">
        <f aca="false">IF($C58="","",IFERROR(INDEX('INVENTORY MASTER'!$E$4:$E$63,MATCH($C58,'INVENTORY MASTER'!$A$4:$A$63,0)),""))</f>
        <v/>
      </c>
      <c r="F58" s="18"/>
      <c r="G58" s="18"/>
      <c r="H58" s="18"/>
      <c r="I58" s="21" t="str">
        <f aca="false">IF($C58="","",IFERROR(INDEX('INVENTORY MASTER'!$AI$4:$AI$63,MATCH($C58,'INVENTORY MASTER'!$A$4:$A$63,0)),""))</f>
        <v/>
      </c>
      <c r="J58" s="21" t="str">
        <f aca="false">IF($C58="","",IFERROR(INDEX('INVENTORY MASTER'!$AO$4:$AO$63,MATCH($C58,'INVENTORY MASTER'!$A$4:$A$63,0)),""))</f>
        <v/>
      </c>
      <c r="K58" s="22"/>
      <c r="L58" s="21" t="str">
        <f aca="false">IF(OR($J58="",$K58=""),"",$J58-$K58)</f>
        <v/>
      </c>
      <c r="M58" s="23" t="str">
        <f aca="false">IF(OR($J58="",$L58="",$J58=0),"",$L58/$J58)</f>
        <v/>
      </c>
      <c r="N58" s="21" t="str">
        <f aca="false">IF(OR($K58="",$I58=""),"",$K58-$I58)</f>
        <v/>
      </c>
      <c r="O58" s="23" t="str">
        <f aca="false">IF(OR($K58="",$K58=0,$N58=""),"",$N58/$K58)</f>
        <v/>
      </c>
      <c r="P58" s="18"/>
      <c r="Q58" s="18"/>
      <c r="R58" s="22"/>
      <c r="S58" s="22"/>
      <c r="T58" s="21" t="str">
        <f aca="false">IF($K58="","",$K58-N($R58)-N($S58))</f>
        <v/>
      </c>
      <c r="U58" s="18"/>
      <c r="V58" s="18"/>
      <c r="W58" s="22"/>
      <c r="X58" s="18"/>
      <c r="Y58" s="18"/>
    </row>
    <row r="59" customFormat="false" ht="15" hidden="false" customHeight="false" outlineLevel="0" collapsed="false">
      <c r="A59" s="18"/>
      <c r="B59" s="17"/>
      <c r="C59" s="18"/>
      <c r="D59" s="24" t="str">
        <f aca="false">IF($C59="","",IFERROR(INDEX('INVENTORY MASTER'!$K$4:$K$63,MATCH($C59,'INVENTORY MASTER'!$A$4:$A$63,0)),""))</f>
        <v/>
      </c>
      <c r="E59" s="24" t="str">
        <f aca="false">IF($C59="","",IFERROR(INDEX('INVENTORY MASTER'!$E$4:$E$63,MATCH($C59,'INVENTORY MASTER'!$A$4:$A$63,0)),""))</f>
        <v/>
      </c>
      <c r="F59" s="18"/>
      <c r="G59" s="18"/>
      <c r="H59" s="18"/>
      <c r="I59" s="21" t="str">
        <f aca="false">IF($C59="","",IFERROR(INDEX('INVENTORY MASTER'!$AI$4:$AI$63,MATCH($C59,'INVENTORY MASTER'!$A$4:$A$63,0)),""))</f>
        <v/>
      </c>
      <c r="J59" s="21" t="str">
        <f aca="false">IF($C59="","",IFERROR(INDEX('INVENTORY MASTER'!$AO$4:$AO$63,MATCH($C59,'INVENTORY MASTER'!$A$4:$A$63,0)),""))</f>
        <v/>
      </c>
      <c r="K59" s="22"/>
      <c r="L59" s="21" t="str">
        <f aca="false">IF(OR($J59="",$K59=""),"",$J59-$K59)</f>
        <v/>
      </c>
      <c r="M59" s="23" t="str">
        <f aca="false">IF(OR($J59="",$L59="",$J59=0),"",$L59/$J59)</f>
        <v/>
      </c>
      <c r="N59" s="21" t="str">
        <f aca="false">IF(OR($K59="",$I59=""),"",$K59-$I59)</f>
        <v/>
      </c>
      <c r="O59" s="23" t="str">
        <f aca="false">IF(OR($K59="",$K59=0,$N59=""),"",$N59/$K59)</f>
        <v/>
      </c>
      <c r="P59" s="18"/>
      <c r="Q59" s="18"/>
      <c r="R59" s="22"/>
      <c r="S59" s="22"/>
      <c r="T59" s="21" t="str">
        <f aca="false">IF($K59="","",$K59-N($R59)-N($S59))</f>
        <v/>
      </c>
      <c r="U59" s="18"/>
      <c r="V59" s="18"/>
      <c r="W59" s="22"/>
      <c r="X59" s="18"/>
      <c r="Y59" s="18"/>
    </row>
    <row r="60" customFormat="false" ht="15" hidden="false" customHeight="false" outlineLevel="0" collapsed="false">
      <c r="A60" s="18"/>
      <c r="B60" s="17"/>
      <c r="C60" s="18"/>
      <c r="D60" s="24" t="str">
        <f aca="false">IF($C60="","",IFERROR(INDEX('INVENTORY MASTER'!$K$4:$K$63,MATCH($C60,'INVENTORY MASTER'!$A$4:$A$63,0)),""))</f>
        <v/>
      </c>
      <c r="E60" s="24" t="str">
        <f aca="false">IF($C60="","",IFERROR(INDEX('INVENTORY MASTER'!$E$4:$E$63,MATCH($C60,'INVENTORY MASTER'!$A$4:$A$63,0)),""))</f>
        <v/>
      </c>
      <c r="F60" s="18"/>
      <c r="G60" s="18"/>
      <c r="H60" s="18"/>
      <c r="I60" s="21" t="str">
        <f aca="false">IF($C60="","",IFERROR(INDEX('INVENTORY MASTER'!$AI$4:$AI$63,MATCH($C60,'INVENTORY MASTER'!$A$4:$A$63,0)),""))</f>
        <v/>
      </c>
      <c r="J60" s="21" t="str">
        <f aca="false">IF($C60="","",IFERROR(INDEX('INVENTORY MASTER'!$AO$4:$AO$63,MATCH($C60,'INVENTORY MASTER'!$A$4:$A$63,0)),""))</f>
        <v/>
      </c>
      <c r="K60" s="22"/>
      <c r="L60" s="21" t="str">
        <f aca="false">IF(OR($J60="",$K60=""),"",$J60-$K60)</f>
        <v/>
      </c>
      <c r="M60" s="23" t="str">
        <f aca="false">IF(OR($J60="",$L60="",$J60=0),"",$L60/$J60)</f>
        <v/>
      </c>
      <c r="N60" s="21" t="str">
        <f aca="false">IF(OR($K60="",$I60=""),"",$K60-$I60)</f>
        <v/>
      </c>
      <c r="O60" s="23" t="str">
        <f aca="false">IF(OR($K60="",$K60=0,$N60=""),"",$N60/$K60)</f>
        <v/>
      </c>
      <c r="P60" s="18"/>
      <c r="Q60" s="18"/>
      <c r="R60" s="22"/>
      <c r="S60" s="22"/>
      <c r="T60" s="21" t="str">
        <f aca="false">IF($K60="","",$K60-N($R60)-N($S60))</f>
        <v/>
      </c>
      <c r="U60" s="18"/>
      <c r="V60" s="18"/>
      <c r="W60" s="22"/>
      <c r="X60" s="18"/>
      <c r="Y60" s="18"/>
    </row>
    <row r="61" customFormat="false" ht="15" hidden="false" customHeight="false" outlineLevel="0" collapsed="false">
      <c r="A61" s="18"/>
      <c r="B61" s="17"/>
      <c r="C61" s="18"/>
      <c r="D61" s="24" t="str">
        <f aca="false">IF($C61="","",IFERROR(INDEX('INVENTORY MASTER'!$K$4:$K$63,MATCH($C61,'INVENTORY MASTER'!$A$4:$A$63,0)),""))</f>
        <v/>
      </c>
      <c r="E61" s="24" t="str">
        <f aca="false">IF($C61="","",IFERROR(INDEX('INVENTORY MASTER'!$E$4:$E$63,MATCH($C61,'INVENTORY MASTER'!$A$4:$A$63,0)),""))</f>
        <v/>
      </c>
      <c r="F61" s="18"/>
      <c r="G61" s="18"/>
      <c r="H61" s="18"/>
      <c r="I61" s="21" t="str">
        <f aca="false">IF($C61="","",IFERROR(INDEX('INVENTORY MASTER'!$AI$4:$AI$63,MATCH($C61,'INVENTORY MASTER'!$A$4:$A$63,0)),""))</f>
        <v/>
      </c>
      <c r="J61" s="21" t="str">
        <f aca="false">IF($C61="","",IFERROR(INDEX('INVENTORY MASTER'!$AO$4:$AO$63,MATCH($C61,'INVENTORY MASTER'!$A$4:$A$63,0)),""))</f>
        <v/>
      </c>
      <c r="K61" s="22"/>
      <c r="L61" s="21" t="str">
        <f aca="false">IF(OR($J61="",$K61=""),"",$J61-$K61)</f>
        <v/>
      </c>
      <c r="M61" s="23" t="str">
        <f aca="false">IF(OR($J61="",$L61="",$J61=0),"",$L61/$J61)</f>
        <v/>
      </c>
      <c r="N61" s="21" t="str">
        <f aca="false">IF(OR($K61="",$I61=""),"",$K61-$I61)</f>
        <v/>
      </c>
      <c r="O61" s="23" t="str">
        <f aca="false">IF(OR($K61="",$K61=0,$N61=""),"",$N61/$K61)</f>
        <v/>
      </c>
      <c r="P61" s="18"/>
      <c r="Q61" s="18"/>
      <c r="R61" s="22"/>
      <c r="S61" s="22"/>
      <c r="T61" s="21" t="str">
        <f aca="false">IF($K61="","",$K61-N($R61)-N($S61))</f>
        <v/>
      </c>
      <c r="U61" s="18"/>
      <c r="V61" s="18"/>
      <c r="W61" s="22"/>
      <c r="X61" s="18"/>
      <c r="Y61" s="18"/>
    </row>
    <row r="62" customFormat="false" ht="15" hidden="false" customHeight="false" outlineLevel="0" collapsed="false">
      <c r="A62" s="18"/>
      <c r="B62" s="17"/>
      <c r="C62" s="18"/>
      <c r="D62" s="24" t="str">
        <f aca="false">IF($C62="","",IFERROR(INDEX('INVENTORY MASTER'!$K$4:$K$63,MATCH($C62,'INVENTORY MASTER'!$A$4:$A$63,0)),""))</f>
        <v/>
      </c>
      <c r="E62" s="24" t="str">
        <f aca="false">IF($C62="","",IFERROR(INDEX('INVENTORY MASTER'!$E$4:$E$63,MATCH($C62,'INVENTORY MASTER'!$A$4:$A$63,0)),""))</f>
        <v/>
      </c>
      <c r="F62" s="18"/>
      <c r="G62" s="18"/>
      <c r="H62" s="18"/>
      <c r="I62" s="21" t="str">
        <f aca="false">IF($C62="","",IFERROR(INDEX('INVENTORY MASTER'!$AI$4:$AI$63,MATCH($C62,'INVENTORY MASTER'!$A$4:$A$63,0)),""))</f>
        <v/>
      </c>
      <c r="J62" s="21" t="str">
        <f aca="false">IF($C62="","",IFERROR(INDEX('INVENTORY MASTER'!$AO$4:$AO$63,MATCH($C62,'INVENTORY MASTER'!$A$4:$A$63,0)),""))</f>
        <v/>
      </c>
      <c r="K62" s="22"/>
      <c r="L62" s="21" t="str">
        <f aca="false">IF(OR($J62="",$K62=""),"",$J62-$K62)</f>
        <v/>
      </c>
      <c r="M62" s="23" t="str">
        <f aca="false">IF(OR($J62="",$L62="",$J62=0),"",$L62/$J62)</f>
        <v/>
      </c>
      <c r="N62" s="21" t="str">
        <f aca="false">IF(OR($K62="",$I62=""),"",$K62-$I62)</f>
        <v/>
      </c>
      <c r="O62" s="23" t="str">
        <f aca="false">IF(OR($K62="",$K62=0,$N62=""),"",$N62/$K62)</f>
        <v/>
      </c>
      <c r="P62" s="18"/>
      <c r="Q62" s="18"/>
      <c r="R62" s="22"/>
      <c r="S62" s="22"/>
      <c r="T62" s="21" t="str">
        <f aca="false">IF($K62="","",$K62-N($R62)-N($S62))</f>
        <v/>
      </c>
      <c r="U62" s="18"/>
      <c r="V62" s="18"/>
      <c r="W62" s="22"/>
      <c r="X62" s="18"/>
      <c r="Y62" s="18"/>
    </row>
    <row r="63" customFormat="false" ht="15" hidden="false" customHeight="false" outlineLevel="0" collapsed="false">
      <c r="A63" s="18"/>
      <c r="B63" s="17"/>
      <c r="C63" s="18"/>
      <c r="D63" s="24" t="str">
        <f aca="false">IF($C63="","",IFERROR(INDEX('INVENTORY MASTER'!$K$4:$K$63,MATCH($C63,'INVENTORY MASTER'!$A$4:$A$63,0)),""))</f>
        <v/>
      </c>
      <c r="E63" s="24" t="str">
        <f aca="false">IF($C63="","",IFERROR(INDEX('INVENTORY MASTER'!$E$4:$E$63,MATCH($C63,'INVENTORY MASTER'!$A$4:$A$63,0)),""))</f>
        <v/>
      </c>
      <c r="F63" s="18"/>
      <c r="G63" s="18"/>
      <c r="H63" s="18"/>
      <c r="I63" s="21" t="str">
        <f aca="false">IF($C63="","",IFERROR(INDEX('INVENTORY MASTER'!$AI$4:$AI$63,MATCH($C63,'INVENTORY MASTER'!$A$4:$A$63,0)),""))</f>
        <v/>
      </c>
      <c r="J63" s="21" t="str">
        <f aca="false">IF($C63="","",IFERROR(INDEX('INVENTORY MASTER'!$AO$4:$AO$63,MATCH($C63,'INVENTORY MASTER'!$A$4:$A$63,0)),""))</f>
        <v/>
      </c>
      <c r="K63" s="22"/>
      <c r="L63" s="21" t="str">
        <f aca="false">IF(OR($J63="",$K63=""),"",$J63-$K63)</f>
        <v/>
      </c>
      <c r="M63" s="23" t="str">
        <f aca="false">IF(OR($J63="",$L63="",$J63=0),"",$L63/$J63)</f>
        <v/>
      </c>
      <c r="N63" s="21" t="str">
        <f aca="false">IF(OR($K63="",$I63=""),"",$K63-$I63)</f>
        <v/>
      </c>
      <c r="O63" s="23" t="str">
        <f aca="false">IF(OR($K63="",$K63=0,$N63=""),"",$N63/$K63)</f>
        <v/>
      </c>
      <c r="P63" s="18"/>
      <c r="Q63" s="18"/>
      <c r="R63" s="22"/>
      <c r="S63" s="22"/>
      <c r="T63" s="21" t="str">
        <f aca="false">IF($K63="","",$K63-N($R63)-N($S63))</f>
        <v/>
      </c>
      <c r="U63" s="18"/>
      <c r="V63" s="18"/>
      <c r="W63" s="22"/>
      <c r="X63" s="18"/>
      <c r="Y63" s="18"/>
    </row>
  </sheetData>
  <sheetProtection sheet="true" password="c7e9" objects="true" scenarios="true" sort="false" autoFilter="false"/>
  <mergeCells count="2">
    <mergeCell ref="A1:Y1"/>
    <mergeCell ref="A2:Y2"/>
  </mergeCells>
  <conditionalFormatting sqref="K4:K63">
    <cfRule type="expression" priority="2" aboveAverage="0" equalAverage="0" bottom="0" percent="0" rank="0" text="" dxfId="0">
      <formula>AND($C4&lt;&gt;"",$K4&lt;&gt;"",$K4&lt;INDEX('INVENTORY MASTER'!$AN$4:$AN$63,MATCH($C4,'INVENTORY MASTER'!$A$4:$A$63,0)))</formula>
    </cfRule>
  </conditionalFormatting>
  <conditionalFormatting sqref="N4:N63">
    <cfRule type="expression" priority="3" aboveAverage="0" equalAverage="0" bottom="0" percent="0" rank="0" text="" dxfId="0">
      <formula>AND($N4&lt;&gt;"",$N4&lt;0)</formula>
    </cfRule>
  </conditionalFormatting>
  <dataValidations count="8">
    <dataValidation allowBlank="true" errorStyle="stop" operator="between" showDropDown="false" showErrorMessage="false" showInputMessage="false" sqref="F4:F63" type="list">
      <formula1>SETTINGS!$B$5:$B$8</formula1>
      <formula2>0</formula2>
    </dataValidation>
    <dataValidation allowBlank="true" errorStyle="stop" operator="between" showDropDown="false" showErrorMessage="false" showInputMessage="false" sqref="P4:P63" type="list">
      <formula1>SETTINGS!$O$5:$O$9</formula1>
      <formula2>0</formula2>
    </dataValidation>
    <dataValidation allowBlank="true" errorStyle="stop" operator="between" showDropDown="false" showErrorMessage="false" showInputMessage="false" sqref="Q4:Q63" type="list">
      <formula1>SETTINGS!$G$5:$G$11</formula1>
      <formula2>0</formula2>
    </dataValidation>
    <dataValidation allowBlank="true" errorStyle="stop" operator="between" showDropDown="false" showErrorMessage="false" showInputMessage="false" sqref="U4:U63" type="list">
      <formula1>SETTINGS!$P$5:$P$9</formula1>
      <formula2>0</formula2>
    </dataValidation>
    <dataValidation allowBlank="true" errorStyle="stop" operator="between" showDropDown="false" showErrorMessage="false" showInputMessage="false" sqref="V4:V63" type="list">
      <formula1>SETTINGS!$N$5:$N$6</formula1>
      <formula2>0</formula2>
    </dataValidation>
    <dataValidation allowBlank="true" errorStyle="stop" operator="between" showDropDown="false" showErrorMessage="false" showInputMessage="false" sqref="X4:X63" type="list">
      <formula1>SETTINGS!$N$5:$N$6</formula1>
      <formula2>0</formula2>
    </dataValidation>
    <dataValidation allowBlank="true" errorStyle="stop" operator="between" showDropDown="false" showErrorMessage="false" showInputMessage="false" sqref="E4:E63" type="list">
      <formula1>SETTINGS!$D$5:$D$14</formula1>
      <formula2>0</formula2>
    </dataValidation>
    <dataValidation allowBlank="true" errorStyle="stop" operator="between" showDropDown="false" showErrorMessage="false" showInputMessage="false" sqref="C4:C63" type="list">
      <formula1>'INVENTORY MASTER'!$A$4:$A$63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3"/>
    <col collapsed="false" customWidth="true" hidden="false" outlineLevel="0" max="5" min="5" style="0" width="26"/>
    <col collapsed="false" customWidth="true" hidden="false" outlineLevel="0" max="9" min="6" style="0" width="13"/>
    <col collapsed="false" customWidth="true" hidden="false" outlineLevel="0" max="10" min="10" style="0" width="24"/>
    <col collapsed="false" customWidth="true" hidden="false" outlineLevel="0" max="13" min="11" style="0" width="13"/>
    <col collapsed="false" customWidth="true" hidden="false" outlineLevel="0" max="14" min="14" style="0" width="22"/>
  </cols>
  <sheetData>
    <row r="1" customFormat="false" ht="30" hidden="false" customHeight="true" outlineLevel="0" collapsed="false">
      <c r="A1" s="1" t="s">
        <v>384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385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7.75" hidden="false" customHeight="true" outlineLevel="0" collapsed="false">
      <c r="A3" s="15" t="s">
        <v>386</v>
      </c>
      <c r="B3" s="15" t="s">
        <v>387</v>
      </c>
      <c r="C3" s="15" t="s">
        <v>96</v>
      </c>
      <c r="D3" s="15" t="s">
        <v>388</v>
      </c>
      <c r="E3" s="15" t="s">
        <v>178</v>
      </c>
      <c r="F3" s="15" t="s">
        <v>389</v>
      </c>
      <c r="G3" s="15" t="s">
        <v>390</v>
      </c>
      <c r="H3" s="15" t="s">
        <v>59</v>
      </c>
      <c r="I3" s="15" t="s">
        <v>219</v>
      </c>
      <c r="J3" s="15" t="s">
        <v>391</v>
      </c>
      <c r="K3" s="15" t="s">
        <v>392</v>
      </c>
      <c r="L3" s="15" t="s">
        <v>393</v>
      </c>
      <c r="M3" s="15" t="s">
        <v>374</v>
      </c>
      <c r="N3" s="15" t="s">
        <v>221</v>
      </c>
    </row>
    <row r="4" customFormat="false" ht="15" hidden="false" customHeight="false" outlineLevel="0" collapsed="false">
      <c r="A4" s="18" t="s">
        <v>394</v>
      </c>
      <c r="B4" s="17" t="n">
        <v>46037</v>
      </c>
      <c r="C4" s="18" t="s">
        <v>99</v>
      </c>
      <c r="D4" s="18" t="s">
        <v>395</v>
      </c>
      <c r="E4" s="18" t="s">
        <v>396</v>
      </c>
      <c r="F4" s="18" t="s">
        <v>222</v>
      </c>
      <c r="G4" s="18"/>
      <c r="H4" s="22" t="n">
        <v>8100</v>
      </c>
      <c r="I4" s="18" t="s">
        <v>243</v>
      </c>
      <c r="J4" s="18" t="s">
        <v>397</v>
      </c>
      <c r="K4" s="22" t="n">
        <v>0</v>
      </c>
      <c r="L4" s="17"/>
      <c r="M4" s="21" t="n">
        <f aca="false">IF($H4="","",N($H4)-N($K4))</f>
        <v>8100</v>
      </c>
      <c r="N4" s="18" t="s">
        <v>398</v>
      </c>
    </row>
    <row r="5" customFormat="false" ht="15" hidden="false" customHeight="false" outlineLevel="0" collapsed="false">
      <c r="A5" s="18" t="s">
        <v>399</v>
      </c>
      <c r="B5" s="17" t="n">
        <v>46042</v>
      </c>
      <c r="C5" s="18" t="s">
        <v>100</v>
      </c>
      <c r="D5" s="18" t="s">
        <v>395</v>
      </c>
      <c r="E5" s="18" t="s">
        <v>400</v>
      </c>
      <c r="F5" s="18" t="s">
        <v>246</v>
      </c>
      <c r="G5" s="18"/>
      <c r="H5" s="22" t="n">
        <v>3550</v>
      </c>
      <c r="I5" s="18" t="s">
        <v>401</v>
      </c>
      <c r="J5" s="18" t="s">
        <v>402</v>
      </c>
      <c r="K5" s="22" t="n">
        <v>0</v>
      </c>
      <c r="L5" s="17"/>
      <c r="M5" s="21" t="n">
        <f aca="false">IF($H5="","",N($H5)-N($K5))</f>
        <v>3550</v>
      </c>
      <c r="N5" s="18" t="s">
        <v>398</v>
      </c>
    </row>
    <row r="6" customFormat="false" ht="23.85" hidden="false" customHeight="false" outlineLevel="0" collapsed="false">
      <c r="A6" s="18" t="s">
        <v>403</v>
      </c>
      <c r="B6" s="17" t="n">
        <v>46030</v>
      </c>
      <c r="C6" s="18" t="s">
        <v>101</v>
      </c>
      <c r="D6" s="18" t="s">
        <v>404</v>
      </c>
      <c r="E6" s="18" t="s">
        <v>405</v>
      </c>
      <c r="F6" s="18"/>
      <c r="G6" s="18" t="s">
        <v>406</v>
      </c>
      <c r="H6" s="22" t="n">
        <v>5000</v>
      </c>
      <c r="I6" s="18" t="s">
        <v>243</v>
      </c>
      <c r="J6" s="18" t="s">
        <v>407</v>
      </c>
      <c r="K6" s="22" t="n">
        <v>2000</v>
      </c>
      <c r="L6" s="17" t="n">
        <v>46081</v>
      </c>
      <c r="M6" s="21" t="n">
        <f aca="false">IF($H6="","",N($H6)-N($K6))</f>
        <v>3000</v>
      </c>
      <c r="N6" s="18" t="s">
        <v>408</v>
      </c>
    </row>
    <row r="7" customFormat="false" ht="23.85" hidden="false" customHeight="false" outlineLevel="0" collapsed="false">
      <c r="A7" s="18" t="s">
        <v>409</v>
      </c>
      <c r="B7" s="17" t="n">
        <v>46027</v>
      </c>
      <c r="C7" s="18" t="s">
        <v>99</v>
      </c>
      <c r="D7" s="18" t="s">
        <v>410</v>
      </c>
      <c r="E7" s="18" t="s">
        <v>411</v>
      </c>
      <c r="F7" s="18"/>
      <c r="G7" s="18"/>
      <c r="H7" s="22" t="n">
        <v>10000</v>
      </c>
      <c r="I7" s="18" t="s">
        <v>243</v>
      </c>
      <c r="J7" s="18" t="s">
        <v>412</v>
      </c>
      <c r="K7" s="22" t="n">
        <v>0</v>
      </c>
      <c r="L7" s="17"/>
      <c r="M7" s="21" t="n">
        <f aca="false">IF($H7="","",N($H7)-N($K7))</f>
        <v>10000</v>
      </c>
      <c r="N7" s="18" t="s">
        <v>398</v>
      </c>
    </row>
    <row r="8" customFormat="false" ht="15" hidden="false" customHeight="false" outlineLevel="0" collapsed="false">
      <c r="A8" s="18" t="s">
        <v>413</v>
      </c>
      <c r="B8" s="17" t="n">
        <v>46027</v>
      </c>
      <c r="C8" s="18" t="s">
        <v>101</v>
      </c>
      <c r="D8" s="18" t="s">
        <v>395</v>
      </c>
      <c r="E8" s="18" t="s">
        <v>414</v>
      </c>
      <c r="F8" s="18" t="s">
        <v>296</v>
      </c>
      <c r="G8" s="18"/>
      <c r="H8" s="22" t="n">
        <v>4790</v>
      </c>
      <c r="I8" s="18" t="s">
        <v>243</v>
      </c>
      <c r="J8" s="18" t="s">
        <v>415</v>
      </c>
      <c r="K8" s="22" t="n">
        <v>0</v>
      </c>
      <c r="L8" s="17"/>
      <c r="M8" s="21" t="n">
        <f aca="false">IF($H8="","",N($H8)-N($K8))</f>
        <v>4790</v>
      </c>
      <c r="N8" s="18" t="s">
        <v>398</v>
      </c>
    </row>
    <row r="9" customFormat="false" ht="15" hidden="false" customHeight="false" outlineLevel="0" collapsed="false">
      <c r="A9" s="18"/>
      <c r="B9" s="17"/>
      <c r="C9" s="18"/>
      <c r="D9" s="18"/>
      <c r="E9" s="18"/>
      <c r="F9" s="18"/>
      <c r="G9" s="18"/>
      <c r="H9" s="22"/>
      <c r="I9" s="18"/>
      <c r="J9" s="18"/>
      <c r="K9" s="22"/>
      <c r="L9" s="17"/>
      <c r="M9" s="21" t="str">
        <f aca="false">IF($H9="","",N($H9)-N($K9))</f>
        <v/>
      </c>
      <c r="N9" s="18"/>
    </row>
    <row r="10" customFormat="false" ht="15" hidden="false" customHeight="false" outlineLevel="0" collapsed="false">
      <c r="A10" s="18"/>
      <c r="B10" s="17"/>
      <c r="C10" s="18"/>
      <c r="D10" s="18"/>
      <c r="E10" s="18"/>
      <c r="F10" s="18"/>
      <c r="G10" s="18"/>
      <c r="H10" s="22"/>
      <c r="I10" s="18"/>
      <c r="J10" s="18"/>
      <c r="K10" s="22"/>
      <c r="L10" s="17"/>
      <c r="M10" s="21" t="str">
        <f aca="false">IF($H10="","",N($H10)-N($K10))</f>
        <v/>
      </c>
      <c r="N10" s="18"/>
    </row>
    <row r="11" customFormat="false" ht="15" hidden="false" customHeight="false" outlineLevel="0" collapsed="false">
      <c r="A11" s="18"/>
      <c r="B11" s="17"/>
      <c r="C11" s="18"/>
      <c r="D11" s="18"/>
      <c r="E11" s="18"/>
      <c r="F11" s="18"/>
      <c r="G11" s="18"/>
      <c r="H11" s="22"/>
      <c r="I11" s="18"/>
      <c r="J11" s="18"/>
      <c r="K11" s="22"/>
      <c r="L11" s="17"/>
      <c r="M11" s="21" t="str">
        <f aca="false">IF($H11="","",N($H11)-N($K11))</f>
        <v/>
      </c>
      <c r="N11" s="18"/>
    </row>
    <row r="12" customFormat="false" ht="15" hidden="false" customHeight="false" outlineLevel="0" collapsed="false">
      <c r="A12" s="18"/>
      <c r="B12" s="17"/>
      <c r="C12" s="18"/>
      <c r="D12" s="18"/>
      <c r="E12" s="18"/>
      <c r="F12" s="18"/>
      <c r="G12" s="18"/>
      <c r="H12" s="22"/>
      <c r="I12" s="18"/>
      <c r="J12" s="18"/>
      <c r="K12" s="22"/>
      <c r="L12" s="17"/>
      <c r="M12" s="21" t="str">
        <f aca="false">IF($H12="","",N($H12)-N($K12))</f>
        <v/>
      </c>
      <c r="N12" s="18"/>
    </row>
    <row r="13" customFormat="false" ht="15" hidden="false" customHeight="false" outlineLevel="0" collapsed="false">
      <c r="A13" s="18"/>
      <c r="B13" s="17"/>
      <c r="C13" s="18"/>
      <c r="D13" s="18"/>
      <c r="E13" s="18"/>
      <c r="F13" s="18"/>
      <c r="G13" s="18"/>
      <c r="H13" s="22"/>
      <c r="I13" s="18"/>
      <c r="J13" s="18"/>
      <c r="K13" s="22"/>
      <c r="L13" s="17"/>
      <c r="M13" s="21" t="str">
        <f aca="false">IF($H13="","",N($H13)-N($K13))</f>
        <v/>
      </c>
      <c r="N13" s="18"/>
    </row>
    <row r="14" customFormat="false" ht="15" hidden="false" customHeight="false" outlineLevel="0" collapsed="false">
      <c r="A14" s="18"/>
      <c r="B14" s="17"/>
      <c r="C14" s="18"/>
      <c r="D14" s="18"/>
      <c r="E14" s="18"/>
      <c r="F14" s="18"/>
      <c r="G14" s="18"/>
      <c r="H14" s="22"/>
      <c r="I14" s="18"/>
      <c r="J14" s="18"/>
      <c r="K14" s="22"/>
      <c r="L14" s="17"/>
      <c r="M14" s="21" t="str">
        <f aca="false">IF($H14="","",N($H14)-N($K14))</f>
        <v/>
      </c>
      <c r="N14" s="18"/>
    </row>
    <row r="15" customFormat="false" ht="15" hidden="false" customHeight="false" outlineLevel="0" collapsed="false">
      <c r="A15" s="18"/>
      <c r="B15" s="17"/>
      <c r="C15" s="18"/>
      <c r="D15" s="18"/>
      <c r="E15" s="18"/>
      <c r="F15" s="18"/>
      <c r="G15" s="18"/>
      <c r="H15" s="22"/>
      <c r="I15" s="18"/>
      <c r="J15" s="18"/>
      <c r="K15" s="22"/>
      <c r="L15" s="17"/>
      <c r="M15" s="21" t="str">
        <f aca="false">IF($H15="","",N($H15)-N($K15))</f>
        <v/>
      </c>
      <c r="N15" s="18"/>
    </row>
    <row r="16" customFormat="false" ht="15" hidden="false" customHeight="false" outlineLevel="0" collapsed="false">
      <c r="A16" s="18"/>
      <c r="B16" s="17"/>
      <c r="C16" s="18"/>
      <c r="D16" s="18"/>
      <c r="E16" s="18"/>
      <c r="F16" s="18"/>
      <c r="G16" s="18"/>
      <c r="H16" s="22"/>
      <c r="I16" s="18"/>
      <c r="J16" s="18"/>
      <c r="K16" s="22"/>
      <c r="L16" s="17"/>
      <c r="M16" s="21" t="str">
        <f aca="false">IF($H16="","",N($H16)-N($K16))</f>
        <v/>
      </c>
      <c r="N16" s="18"/>
    </row>
    <row r="17" customFormat="false" ht="15" hidden="false" customHeight="false" outlineLevel="0" collapsed="false">
      <c r="A17" s="18"/>
      <c r="B17" s="17"/>
      <c r="C17" s="18"/>
      <c r="D17" s="18"/>
      <c r="E17" s="18"/>
      <c r="F17" s="18"/>
      <c r="G17" s="18"/>
      <c r="H17" s="22"/>
      <c r="I17" s="18"/>
      <c r="J17" s="18"/>
      <c r="K17" s="22"/>
      <c r="L17" s="17"/>
      <c r="M17" s="21" t="str">
        <f aca="false">IF($H17="","",N($H17)-N($K17))</f>
        <v/>
      </c>
      <c r="N17" s="18"/>
    </row>
    <row r="18" customFormat="false" ht="15" hidden="false" customHeight="false" outlineLevel="0" collapsed="false">
      <c r="A18" s="18"/>
      <c r="B18" s="17"/>
      <c r="C18" s="18"/>
      <c r="D18" s="18"/>
      <c r="E18" s="18"/>
      <c r="F18" s="18"/>
      <c r="G18" s="18"/>
      <c r="H18" s="22"/>
      <c r="I18" s="18"/>
      <c r="J18" s="18"/>
      <c r="K18" s="22"/>
      <c r="L18" s="17"/>
      <c r="M18" s="21" t="str">
        <f aca="false">IF($H18="","",N($H18)-N($K18))</f>
        <v/>
      </c>
      <c r="N18" s="18"/>
    </row>
    <row r="19" customFormat="false" ht="15" hidden="false" customHeight="false" outlineLevel="0" collapsed="false">
      <c r="A19" s="18"/>
      <c r="B19" s="17"/>
      <c r="C19" s="18"/>
      <c r="D19" s="18"/>
      <c r="E19" s="18"/>
      <c r="F19" s="18"/>
      <c r="G19" s="18"/>
      <c r="H19" s="22"/>
      <c r="I19" s="18"/>
      <c r="J19" s="18"/>
      <c r="K19" s="22"/>
      <c r="L19" s="17"/>
      <c r="M19" s="21" t="str">
        <f aca="false">IF($H19="","",N($H19)-N($K19))</f>
        <v/>
      </c>
      <c r="N19" s="18"/>
    </row>
    <row r="20" customFormat="false" ht="15" hidden="false" customHeight="false" outlineLevel="0" collapsed="false">
      <c r="A20" s="18"/>
      <c r="B20" s="17"/>
      <c r="C20" s="18"/>
      <c r="D20" s="18"/>
      <c r="E20" s="18"/>
      <c r="F20" s="18"/>
      <c r="G20" s="18"/>
      <c r="H20" s="22"/>
      <c r="I20" s="18"/>
      <c r="J20" s="18"/>
      <c r="K20" s="22"/>
      <c r="L20" s="17"/>
      <c r="M20" s="21" t="str">
        <f aca="false">IF($H20="","",N($H20)-N($K20))</f>
        <v/>
      </c>
      <c r="N20" s="18"/>
    </row>
    <row r="21" customFormat="false" ht="15" hidden="false" customHeight="false" outlineLevel="0" collapsed="false">
      <c r="A21" s="18"/>
      <c r="B21" s="17"/>
      <c r="C21" s="18"/>
      <c r="D21" s="18"/>
      <c r="E21" s="18"/>
      <c r="F21" s="18"/>
      <c r="G21" s="18"/>
      <c r="H21" s="22"/>
      <c r="I21" s="18"/>
      <c r="J21" s="18"/>
      <c r="K21" s="22"/>
      <c r="L21" s="17"/>
      <c r="M21" s="21" t="str">
        <f aca="false">IF($H21="","",N($H21)-N($K21))</f>
        <v/>
      </c>
      <c r="N21" s="18"/>
    </row>
    <row r="22" customFormat="false" ht="15" hidden="false" customHeight="false" outlineLevel="0" collapsed="false">
      <c r="A22" s="18"/>
      <c r="B22" s="17"/>
      <c r="C22" s="18"/>
      <c r="D22" s="18"/>
      <c r="E22" s="18"/>
      <c r="F22" s="18"/>
      <c r="G22" s="18"/>
      <c r="H22" s="22"/>
      <c r="I22" s="18"/>
      <c r="J22" s="18"/>
      <c r="K22" s="22"/>
      <c r="L22" s="17"/>
      <c r="M22" s="21" t="str">
        <f aca="false">IF($H22="","",N($H22)-N($K22))</f>
        <v/>
      </c>
      <c r="N22" s="18"/>
    </row>
    <row r="23" customFormat="false" ht="15" hidden="false" customHeight="false" outlineLevel="0" collapsed="false">
      <c r="A23" s="18"/>
      <c r="B23" s="17"/>
      <c r="C23" s="18"/>
      <c r="D23" s="18"/>
      <c r="E23" s="18"/>
      <c r="F23" s="18"/>
      <c r="G23" s="18"/>
      <c r="H23" s="22"/>
      <c r="I23" s="18"/>
      <c r="J23" s="18"/>
      <c r="K23" s="22"/>
      <c r="L23" s="17"/>
      <c r="M23" s="21" t="str">
        <f aca="false">IF($H23="","",N($H23)-N($K23))</f>
        <v/>
      </c>
      <c r="N23" s="18"/>
    </row>
    <row r="24" customFormat="false" ht="15" hidden="false" customHeight="false" outlineLevel="0" collapsed="false">
      <c r="A24" s="18"/>
      <c r="B24" s="17"/>
      <c r="C24" s="18"/>
      <c r="D24" s="18"/>
      <c r="E24" s="18"/>
      <c r="F24" s="18"/>
      <c r="G24" s="18"/>
      <c r="H24" s="22"/>
      <c r="I24" s="18"/>
      <c r="J24" s="18"/>
      <c r="K24" s="22"/>
      <c r="L24" s="17"/>
      <c r="M24" s="21" t="str">
        <f aca="false">IF($H24="","",N($H24)-N($K24))</f>
        <v/>
      </c>
      <c r="N24" s="18"/>
    </row>
    <row r="25" customFormat="false" ht="15" hidden="false" customHeight="false" outlineLevel="0" collapsed="false">
      <c r="A25" s="18"/>
      <c r="B25" s="17"/>
      <c r="C25" s="18"/>
      <c r="D25" s="18"/>
      <c r="E25" s="18"/>
      <c r="F25" s="18"/>
      <c r="G25" s="18"/>
      <c r="H25" s="22"/>
      <c r="I25" s="18"/>
      <c r="J25" s="18"/>
      <c r="K25" s="22"/>
      <c r="L25" s="17"/>
      <c r="M25" s="21" t="str">
        <f aca="false">IF($H25="","",N($H25)-N($K25))</f>
        <v/>
      </c>
      <c r="N25" s="18"/>
    </row>
    <row r="26" customFormat="false" ht="15" hidden="false" customHeight="false" outlineLevel="0" collapsed="false">
      <c r="A26" s="18"/>
      <c r="B26" s="17"/>
      <c r="C26" s="18"/>
      <c r="D26" s="18"/>
      <c r="E26" s="18"/>
      <c r="F26" s="18"/>
      <c r="G26" s="18"/>
      <c r="H26" s="22"/>
      <c r="I26" s="18"/>
      <c r="J26" s="18"/>
      <c r="K26" s="22"/>
      <c r="L26" s="17"/>
      <c r="M26" s="21" t="str">
        <f aca="false">IF($H26="","",N($H26)-N($K26))</f>
        <v/>
      </c>
      <c r="N26" s="18"/>
    </row>
    <row r="27" customFormat="false" ht="15" hidden="false" customHeight="false" outlineLevel="0" collapsed="false">
      <c r="A27" s="18"/>
      <c r="B27" s="17"/>
      <c r="C27" s="18"/>
      <c r="D27" s="18"/>
      <c r="E27" s="18"/>
      <c r="F27" s="18"/>
      <c r="G27" s="18"/>
      <c r="H27" s="22"/>
      <c r="I27" s="18"/>
      <c r="J27" s="18"/>
      <c r="K27" s="22"/>
      <c r="L27" s="17"/>
      <c r="M27" s="21" t="str">
        <f aca="false">IF($H27="","",N($H27)-N($K27))</f>
        <v/>
      </c>
      <c r="N27" s="18"/>
    </row>
    <row r="28" customFormat="false" ht="15" hidden="false" customHeight="false" outlineLevel="0" collapsed="false">
      <c r="A28" s="18"/>
      <c r="B28" s="17"/>
      <c r="C28" s="18"/>
      <c r="D28" s="18"/>
      <c r="E28" s="18"/>
      <c r="F28" s="18"/>
      <c r="G28" s="18"/>
      <c r="H28" s="22"/>
      <c r="I28" s="18"/>
      <c r="J28" s="18"/>
      <c r="K28" s="22"/>
      <c r="L28" s="17"/>
      <c r="M28" s="21" t="str">
        <f aca="false">IF($H28="","",N($H28)-N($K28))</f>
        <v/>
      </c>
      <c r="N28" s="18"/>
    </row>
    <row r="29" customFormat="false" ht="15" hidden="false" customHeight="false" outlineLevel="0" collapsed="false">
      <c r="A29" s="18"/>
      <c r="B29" s="17"/>
      <c r="C29" s="18"/>
      <c r="D29" s="18"/>
      <c r="E29" s="18"/>
      <c r="F29" s="18"/>
      <c r="G29" s="18"/>
      <c r="H29" s="22"/>
      <c r="I29" s="18"/>
      <c r="J29" s="18"/>
      <c r="K29" s="22"/>
      <c r="L29" s="17"/>
      <c r="M29" s="21" t="str">
        <f aca="false">IF($H29="","",N($H29)-N($K29))</f>
        <v/>
      </c>
      <c r="N29" s="18"/>
    </row>
    <row r="30" customFormat="false" ht="15" hidden="false" customHeight="false" outlineLevel="0" collapsed="false">
      <c r="A30" s="18"/>
      <c r="B30" s="17"/>
      <c r="C30" s="18"/>
      <c r="D30" s="18"/>
      <c r="E30" s="18"/>
      <c r="F30" s="18"/>
      <c r="G30" s="18"/>
      <c r="H30" s="22"/>
      <c r="I30" s="18"/>
      <c r="J30" s="18"/>
      <c r="K30" s="22"/>
      <c r="L30" s="17"/>
      <c r="M30" s="21" t="str">
        <f aca="false">IF($H30="","",N($H30)-N($K30))</f>
        <v/>
      </c>
      <c r="N30" s="18"/>
    </row>
    <row r="31" customFormat="false" ht="15" hidden="false" customHeight="false" outlineLevel="0" collapsed="false">
      <c r="A31" s="18"/>
      <c r="B31" s="17"/>
      <c r="C31" s="18"/>
      <c r="D31" s="18"/>
      <c r="E31" s="18"/>
      <c r="F31" s="18"/>
      <c r="G31" s="18"/>
      <c r="H31" s="22"/>
      <c r="I31" s="18"/>
      <c r="J31" s="18"/>
      <c r="K31" s="22"/>
      <c r="L31" s="17"/>
      <c r="M31" s="21" t="str">
        <f aca="false">IF($H31="","",N($H31)-N($K31))</f>
        <v/>
      </c>
      <c r="N31" s="18"/>
    </row>
    <row r="32" customFormat="false" ht="15" hidden="false" customHeight="false" outlineLevel="0" collapsed="false">
      <c r="A32" s="18"/>
      <c r="B32" s="17"/>
      <c r="C32" s="18"/>
      <c r="D32" s="18"/>
      <c r="E32" s="18"/>
      <c r="F32" s="18"/>
      <c r="G32" s="18"/>
      <c r="H32" s="22"/>
      <c r="I32" s="18"/>
      <c r="J32" s="18"/>
      <c r="K32" s="22"/>
      <c r="L32" s="17"/>
      <c r="M32" s="21" t="str">
        <f aca="false">IF($H32="","",N($H32)-N($K32))</f>
        <v/>
      </c>
      <c r="N32" s="18"/>
    </row>
    <row r="33" customFormat="false" ht="15" hidden="false" customHeight="false" outlineLevel="0" collapsed="false">
      <c r="A33" s="18"/>
      <c r="B33" s="17"/>
      <c r="C33" s="18"/>
      <c r="D33" s="18"/>
      <c r="E33" s="18"/>
      <c r="F33" s="18"/>
      <c r="G33" s="18"/>
      <c r="H33" s="22"/>
      <c r="I33" s="18"/>
      <c r="J33" s="18"/>
      <c r="K33" s="22"/>
      <c r="L33" s="17"/>
      <c r="M33" s="21" t="str">
        <f aca="false">IF($H33="","",N($H33)-N($K33))</f>
        <v/>
      </c>
      <c r="N33" s="18"/>
    </row>
    <row r="34" customFormat="false" ht="15" hidden="false" customHeight="false" outlineLevel="0" collapsed="false">
      <c r="A34" s="18"/>
      <c r="B34" s="17"/>
      <c r="C34" s="18"/>
      <c r="D34" s="18"/>
      <c r="E34" s="18"/>
      <c r="F34" s="18"/>
      <c r="G34" s="18"/>
      <c r="H34" s="22"/>
      <c r="I34" s="18"/>
      <c r="J34" s="18"/>
      <c r="K34" s="22"/>
      <c r="L34" s="17"/>
      <c r="M34" s="21" t="str">
        <f aca="false">IF($H34="","",N($H34)-N($K34))</f>
        <v/>
      </c>
      <c r="N34" s="18"/>
    </row>
    <row r="35" customFormat="false" ht="15" hidden="false" customHeight="false" outlineLevel="0" collapsed="false">
      <c r="A35" s="18"/>
      <c r="B35" s="17"/>
      <c r="C35" s="18"/>
      <c r="D35" s="18"/>
      <c r="E35" s="18"/>
      <c r="F35" s="18"/>
      <c r="G35" s="18"/>
      <c r="H35" s="22"/>
      <c r="I35" s="18"/>
      <c r="J35" s="18"/>
      <c r="K35" s="22"/>
      <c r="L35" s="17"/>
      <c r="M35" s="21" t="str">
        <f aca="false">IF($H35="","",N($H35)-N($K35))</f>
        <v/>
      </c>
      <c r="N35" s="18"/>
    </row>
    <row r="36" customFormat="false" ht="15" hidden="false" customHeight="false" outlineLevel="0" collapsed="false">
      <c r="A36" s="18"/>
      <c r="B36" s="17"/>
      <c r="C36" s="18"/>
      <c r="D36" s="18"/>
      <c r="E36" s="18"/>
      <c r="F36" s="18"/>
      <c r="G36" s="18"/>
      <c r="H36" s="22"/>
      <c r="I36" s="18"/>
      <c r="J36" s="18"/>
      <c r="K36" s="22"/>
      <c r="L36" s="17"/>
      <c r="M36" s="21" t="str">
        <f aca="false">IF($H36="","",N($H36)-N($K36))</f>
        <v/>
      </c>
      <c r="N36" s="18"/>
    </row>
    <row r="37" customFormat="false" ht="15" hidden="false" customHeight="false" outlineLevel="0" collapsed="false">
      <c r="A37" s="18"/>
      <c r="B37" s="17"/>
      <c r="C37" s="18"/>
      <c r="D37" s="18"/>
      <c r="E37" s="18"/>
      <c r="F37" s="18"/>
      <c r="G37" s="18"/>
      <c r="H37" s="22"/>
      <c r="I37" s="18"/>
      <c r="J37" s="18"/>
      <c r="K37" s="22"/>
      <c r="L37" s="17"/>
      <c r="M37" s="21" t="str">
        <f aca="false">IF($H37="","",N($H37)-N($K37))</f>
        <v/>
      </c>
      <c r="N37" s="18"/>
    </row>
    <row r="38" customFormat="false" ht="15" hidden="false" customHeight="false" outlineLevel="0" collapsed="false">
      <c r="A38" s="18"/>
      <c r="B38" s="17"/>
      <c r="C38" s="18"/>
      <c r="D38" s="18"/>
      <c r="E38" s="18"/>
      <c r="F38" s="18"/>
      <c r="G38" s="18"/>
      <c r="H38" s="22"/>
      <c r="I38" s="18"/>
      <c r="J38" s="18"/>
      <c r="K38" s="22"/>
      <c r="L38" s="17"/>
      <c r="M38" s="21" t="str">
        <f aca="false">IF($H38="","",N($H38)-N($K38))</f>
        <v/>
      </c>
      <c r="N38" s="18"/>
    </row>
    <row r="39" customFormat="false" ht="15" hidden="false" customHeight="false" outlineLevel="0" collapsed="false">
      <c r="A39" s="18"/>
      <c r="B39" s="17"/>
      <c r="C39" s="18"/>
      <c r="D39" s="18"/>
      <c r="E39" s="18"/>
      <c r="F39" s="18"/>
      <c r="G39" s="18"/>
      <c r="H39" s="22"/>
      <c r="I39" s="18"/>
      <c r="J39" s="18"/>
      <c r="K39" s="22"/>
      <c r="L39" s="17"/>
      <c r="M39" s="21" t="str">
        <f aca="false">IF($H39="","",N($H39)-N($K39))</f>
        <v/>
      </c>
      <c r="N39" s="18"/>
    </row>
    <row r="40" customFormat="false" ht="15" hidden="false" customHeight="false" outlineLevel="0" collapsed="false">
      <c r="A40" s="18"/>
      <c r="B40" s="17"/>
      <c r="C40" s="18"/>
      <c r="D40" s="18"/>
      <c r="E40" s="18"/>
      <c r="F40" s="18"/>
      <c r="G40" s="18"/>
      <c r="H40" s="22"/>
      <c r="I40" s="18"/>
      <c r="J40" s="18"/>
      <c r="K40" s="22"/>
      <c r="L40" s="17"/>
      <c r="M40" s="21" t="str">
        <f aca="false">IF($H40="","",N($H40)-N($K40))</f>
        <v/>
      </c>
      <c r="N40" s="18"/>
    </row>
    <row r="41" customFormat="false" ht="15" hidden="false" customHeight="false" outlineLevel="0" collapsed="false">
      <c r="A41" s="18"/>
      <c r="B41" s="17"/>
      <c r="C41" s="18"/>
      <c r="D41" s="18"/>
      <c r="E41" s="18"/>
      <c r="F41" s="18"/>
      <c r="G41" s="18"/>
      <c r="H41" s="22"/>
      <c r="I41" s="18"/>
      <c r="J41" s="18"/>
      <c r="K41" s="22"/>
      <c r="L41" s="17"/>
      <c r="M41" s="21" t="str">
        <f aca="false">IF($H41="","",N($H41)-N($K41))</f>
        <v/>
      </c>
      <c r="N41" s="18"/>
    </row>
    <row r="42" customFormat="false" ht="15" hidden="false" customHeight="false" outlineLevel="0" collapsed="false">
      <c r="A42" s="18"/>
      <c r="B42" s="17"/>
      <c r="C42" s="18"/>
      <c r="D42" s="18"/>
      <c r="E42" s="18"/>
      <c r="F42" s="18"/>
      <c r="G42" s="18"/>
      <c r="H42" s="22"/>
      <c r="I42" s="18"/>
      <c r="J42" s="18"/>
      <c r="K42" s="22"/>
      <c r="L42" s="17"/>
      <c r="M42" s="21" t="str">
        <f aca="false">IF($H42="","",N($H42)-N($K42))</f>
        <v/>
      </c>
      <c r="N42" s="18"/>
    </row>
    <row r="43" customFormat="false" ht="15" hidden="false" customHeight="false" outlineLevel="0" collapsed="false">
      <c r="A43" s="18"/>
      <c r="B43" s="17"/>
      <c r="C43" s="18"/>
      <c r="D43" s="18"/>
      <c r="E43" s="18"/>
      <c r="F43" s="18"/>
      <c r="G43" s="18"/>
      <c r="H43" s="22"/>
      <c r="I43" s="18"/>
      <c r="J43" s="18"/>
      <c r="K43" s="22"/>
      <c r="L43" s="17"/>
      <c r="M43" s="21" t="str">
        <f aca="false">IF($H43="","",N($H43)-N($K43))</f>
        <v/>
      </c>
      <c r="N43" s="18"/>
    </row>
    <row r="44" customFormat="false" ht="15" hidden="false" customHeight="false" outlineLevel="0" collapsed="false">
      <c r="A44" s="18"/>
      <c r="B44" s="17"/>
      <c r="C44" s="18"/>
      <c r="D44" s="18"/>
      <c r="E44" s="18"/>
      <c r="F44" s="18"/>
      <c r="G44" s="18"/>
      <c r="H44" s="22"/>
      <c r="I44" s="18"/>
      <c r="J44" s="18"/>
      <c r="K44" s="22"/>
      <c r="L44" s="17"/>
      <c r="M44" s="21" t="str">
        <f aca="false">IF($H44="","",N($H44)-N($K44))</f>
        <v/>
      </c>
      <c r="N44" s="18"/>
    </row>
    <row r="45" customFormat="false" ht="15" hidden="false" customHeight="false" outlineLevel="0" collapsed="false">
      <c r="A45" s="18"/>
      <c r="B45" s="17"/>
      <c r="C45" s="18"/>
      <c r="D45" s="18"/>
      <c r="E45" s="18"/>
      <c r="F45" s="18"/>
      <c r="G45" s="18"/>
      <c r="H45" s="22"/>
      <c r="I45" s="18"/>
      <c r="J45" s="18"/>
      <c r="K45" s="22"/>
      <c r="L45" s="17"/>
      <c r="M45" s="21" t="str">
        <f aca="false">IF($H45="","",N($H45)-N($K45))</f>
        <v/>
      </c>
      <c r="N45" s="18"/>
    </row>
    <row r="46" customFormat="false" ht="15" hidden="false" customHeight="false" outlineLevel="0" collapsed="false">
      <c r="A46" s="18"/>
      <c r="B46" s="17"/>
      <c r="C46" s="18"/>
      <c r="D46" s="18"/>
      <c r="E46" s="18"/>
      <c r="F46" s="18"/>
      <c r="G46" s="18"/>
      <c r="H46" s="22"/>
      <c r="I46" s="18"/>
      <c r="J46" s="18"/>
      <c r="K46" s="22"/>
      <c r="L46" s="17"/>
      <c r="M46" s="21" t="str">
        <f aca="false">IF($H46="","",N($H46)-N($K46))</f>
        <v/>
      </c>
      <c r="N46" s="18"/>
    </row>
    <row r="47" customFormat="false" ht="15" hidden="false" customHeight="false" outlineLevel="0" collapsed="false">
      <c r="A47" s="18"/>
      <c r="B47" s="17"/>
      <c r="C47" s="18"/>
      <c r="D47" s="18"/>
      <c r="E47" s="18"/>
      <c r="F47" s="18"/>
      <c r="G47" s="18"/>
      <c r="H47" s="22"/>
      <c r="I47" s="18"/>
      <c r="J47" s="18"/>
      <c r="K47" s="22"/>
      <c r="L47" s="17"/>
      <c r="M47" s="21" t="str">
        <f aca="false">IF($H47="","",N($H47)-N($K47))</f>
        <v/>
      </c>
      <c r="N47" s="18"/>
    </row>
    <row r="48" customFormat="false" ht="15" hidden="false" customHeight="false" outlineLevel="0" collapsed="false">
      <c r="A48" s="18"/>
      <c r="B48" s="17"/>
      <c r="C48" s="18"/>
      <c r="D48" s="18"/>
      <c r="E48" s="18"/>
      <c r="F48" s="18"/>
      <c r="G48" s="18"/>
      <c r="H48" s="22"/>
      <c r="I48" s="18"/>
      <c r="J48" s="18"/>
      <c r="K48" s="22"/>
      <c r="L48" s="17"/>
      <c r="M48" s="21" t="str">
        <f aca="false">IF($H48="","",N($H48)-N($K48))</f>
        <v/>
      </c>
      <c r="N48" s="18"/>
    </row>
    <row r="49" customFormat="false" ht="15" hidden="false" customHeight="false" outlineLevel="0" collapsed="false">
      <c r="A49" s="18"/>
      <c r="B49" s="17"/>
      <c r="C49" s="18"/>
      <c r="D49" s="18"/>
      <c r="E49" s="18"/>
      <c r="F49" s="18"/>
      <c r="G49" s="18"/>
      <c r="H49" s="22"/>
      <c r="I49" s="18"/>
      <c r="J49" s="18"/>
      <c r="K49" s="22"/>
      <c r="L49" s="17"/>
      <c r="M49" s="21" t="str">
        <f aca="false">IF($H49="","",N($H49)-N($K49))</f>
        <v/>
      </c>
      <c r="N49" s="18"/>
    </row>
    <row r="50" customFormat="false" ht="15" hidden="false" customHeight="false" outlineLevel="0" collapsed="false">
      <c r="A50" s="18"/>
      <c r="B50" s="17"/>
      <c r="C50" s="18"/>
      <c r="D50" s="18"/>
      <c r="E50" s="18"/>
      <c r="F50" s="18"/>
      <c r="G50" s="18"/>
      <c r="H50" s="22"/>
      <c r="I50" s="18"/>
      <c r="J50" s="18"/>
      <c r="K50" s="22"/>
      <c r="L50" s="17"/>
      <c r="M50" s="21" t="str">
        <f aca="false">IF($H50="","",N($H50)-N($K50))</f>
        <v/>
      </c>
      <c r="N50" s="18"/>
    </row>
    <row r="51" customFormat="false" ht="15" hidden="false" customHeight="false" outlineLevel="0" collapsed="false">
      <c r="A51" s="18"/>
      <c r="B51" s="17"/>
      <c r="C51" s="18"/>
      <c r="D51" s="18"/>
      <c r="E51" s="18"/>
      <c r="F51" s="18"/>
      <c r="G51" s="18"/>
      <c r="H51" s="22"/>
      <c r="I51" s="18"/>
      <c r="J51" s="18"/>
      <c r="K51" s="22"/>
      <c r="L51" s="17"/>
      <c r="M51" s="21" t="str">
        <f aca="false">IF($H51="","",N($H51)-N($K51))</f>
        <v/>
      </c>
      <c r="N51" s="18"/>
    </row>
    <row r="52" customFormat="false" ht="15" hidden="false" customHeight="false" outlineLevel="0" collapsed="false">
      <c r="A52" s="18"/>
      <c r="B52" s="17"/>
      <c r="C52" s="18"/>
      <c r="D52" s="18"/>
      <c r="E52" s="18"/>
      <c r="F52" s="18"/>
      <c r="G52" s="18"/>
      <c r="H52" s="22"/>
      <c r="I52" s="18"/>
      <c r="J52" s="18"/>
      <c r="K52" s="22"/>
      <c r="L52" s="17"/>
      <c r="M52" s="21" t="str">
        <f aca="false">IF($H52="","",N($H52)-N($K52))</f>
        <v/>
      </c>
      <c r="N52" s="18"/>
    </row>
    <row r="53" customFormat="false" ht="15" hidden="false" customHeight="false" outlineLevel="0" collapsed="false">
      <c r="A53" s="18"/>
      <c r="B53" s="17"/>
      <c r="C53" s="18"/>
      <c r="D53" s="18"/>
      <c r="E53" s="18"/>
      <c r="F53" s="18"/>
      <c r="G53" s="18"/>
      <c r="H53" s="22"/>
      <c r="I53" s="18"/>
      <c r="J53" s="18"/>
      <c r="K53" s="22"/>
      <c r="L53" s="17"/>
      <c r="M53" s="21" t="str">
        <f aca="false">IF($H53="","",N($H53)-N($K53))</f>
        <v/>
      </c>
      <c r="N53" s="18"/>
    </row>
    <row r="54" customFormat="false" ht="15" hidden="false" customHeight="false" outlineLevel="0" collapsed="false">
      <c r="A54" s="18"/>
      <c r="B54" s="17"/>
      <c r="C54" s="18"/>
      <c r="D54" s="18"/>
      <c r="E54" s="18"/>
      <c r="F54" s="18"/>
      <c r="G54" s="18"/>
      <c r="H54" s="22"/>
      <c r="I54" s="18"/>
      <c r="J54" s="18"/>
      <c r="K54" s="22"/>
      <c r="L54" s="17"/>
      <c r="M54" s="21" t="str">
        <f aca="false">IF($H54="","",N($H54)-N($K54))</f>
        <v/>
      </c>
      <c r="N54" s="18"/>
    </row>
    <row r="55" customFormat="false" ht="15" hidden="false" customHeight="false" outlineLevel="0" collapsed="false">
      <c r="A55" s="18"/>
      <c r="B55" s="17"/>
      <c r="C55" s="18"/>
      <c r="D55" s="18"/>
      <c r="E55" s="18"/>
      <c r="F55" s="18"/>
      <c r="G55" s="18"/>
      <c r="H55" s="22"/>
      <c r="I55" s="18"/>
      <c r="J55" s="18"/>
      <c r="K55" s="22"/>
      <c r="L55" s="17"/>
      <c r="M55" s="21" t="str">
        <f aca="false">IF($H55="","",N($H55)-N($K55))</f>
        <v/>
      </c>
      <c r="N55" s="18"/>
    </row>
    <row r="56" customFormat="false" ht="15" hidden="false" customHeight="false" outlineLevel="0" collapsed="false">
      <c r="A56" s="18"/>
      <c r="B56" s="17"/>
      <c r="C56" s="18"/>
      <c r="D56" s="18"/>
      <c r="E56" s="18"/>
      <c r="F56" s="18"/>
      <c r="G56" s="18"/>
      <c r="H56" s="22"/>
      <c r="I56" s="18"/>
      <c r="J56" s="18"/>
      <c r="K56" s="22"/>
      <c r="L56" s="17"/>
      <c r="M56" s="21" t="str">
        <f aca="false">IF($H56="","",N($H56)-N($K56))</f>
        <v/>
      </c>
      <c r="N56" s="18"/>
    </row>
    <row r="57" customFormat="false" ht="15" hidden="false" customHeight="false" outlineLevel="0" collapsed="false">
      <c r="A57" s="18"/>
      <c r="B57" s="17"/>
      <c r="C57" s="18"/>
      <c r="D57" s="18"/>
      <c r="E57" s="18"/>
      <c r="F57" s="18"/>
      <c r="G57" s="18"/>
      <c r="H57" s="22"/>
      <c r="I57" s="18"/>
      <c r="J57" s="18"/>
      <c r="K57" s="22"/>
      <c r="L57" s="17"/>
      <c r="M57" s="21" t="str">
        <f aca="false">IF($H57="","",N($H57)-N($K57))</f>
        <v/>
      </c>
      <c r="N57" s="18"/>
    </row>
    <row r="58" customFormat="false" ht="15" hidden="false" customHeight="false" outlineLevel="0" collapsed="false">
      <c r="A58" s="18"/>
      <c r="B58" s="17"/>
      <c r="C58" s="18"/>
      <c r="D58" s="18"/>
      <c r="E58" s="18"/>
      <c r="F58" s="18"/>
      <c r="G58" s="18"/>
      <c r="H58" s="22"/>
      <c r="I58" s="18"/>
      <c r="J58" s="18"/>
      <c r="K58" s="22"/>
      <c r="L58" s="17"/>
      <c r="M58" s="21" t="str">
        <f aca="false">IF($H58="","",N($H58)-N($K58))</f>
        <v/>
      </c>
      <c r="N58" s="18"/>
    </row>
    <row r="59" customFormat="false" ht="15" hidden="false" customHeight="false" outlineLevel="0" collapsed="false">
      <c r="A59" s="18"/>
      <c r="B59" s="17"/>
      <c r="C59" s="18"/>
      <c r="D59" s="18"/>
      <c r="E59" s="18"/>
      <c r="F59" s="18"/>
      <c r="G59" s="18"/>
      <c r="H59" s="22"/>
      <c r="I59" s="18"/>
      <c r="J59" s="18"/>
      <c r="K59" s="22"/>
      <c r="L59" s="17"/>
      <c r="M59" s="21" t="str">
        <f aca="false">IF($H59="","",N($H59)-N($K59))</f>
        <v/>
      </c>
      <c r="N59" s="18"/>
    </row>
    <row r="60" customFormat="false" ht="15" hidden="false" customHeight="false" outlineLevel="0" collapsed="false">
      <c r="A60" s="18"/>
      <c r="B60" s="17"/>
      <c r="C60" s="18"/>
      <c r="D60" s="18"/>
      <c r="E60" s="18"/>
      <c r="F60" s="18"/>
      <c r="G60" s="18"/>
      <c r="H60" s="22"/>
      <c r="I60" s="18"/>
      <c r="J60" s="18"/>
      <c r="K60" s="22"/>
      <c r="L60" s="17"/>
      <c r="M60" s="21" t="str">
        <f aca="false">IF($H60="","",N($H60)-N($K60))</f>
        <v/>
      </c>
      <c r="N60" s="18"/>
    </row>
    <row r="61" customFormat="false" ht="15" hidden="false" customHeight="false" outlineLevel="0" collapsed="false">
      <c r="A61" s="18"/>
      <c r="B61" s="17"/>
      <c r="C61" s="18"/>
      <c r="D61" s="18"/>
      <c r="E61" s="18"/>
      <c r="F61" s="18"/>
      <c r="G61" s="18"/>
      <c r="H61" s="22"/>
      <c r="I61" s="18"/>
      <c r="J61" s="18"/>
      <c r="K61" s="22"/>
      <c r="L61" s="17"/>
      <c r="M61" s="21" t="str">
        <f aca="false">IF($H61="","",N($H61)-N($K61))</f>
        <v/>
      </c>
      <c r="N61" s="18"/>
    </row>
    <row r="62" customFormat="false" ht="15" hidden="false" customHeight="false" outlineLevel="0" collapsed="false">
      <c r="A62" s="18"/>
      <c r="B62" s="17"/>
      <c r="C62" s="18"/>
      <c r="D62" s="18"/>
      <c r="E62" s="18"/>
      <c r="F62" s="18"/>
      <c r="G62" s="18"/>
      <c r="H62" s="22"/>
      <c r="I62" s="18"/>
      <c r="J62" s="18"/>
      <c r="K62" s="22"/>
      <c r="L62" s="17"/>
      <c r="M62" s="21" t="str">
        <f aca="false">IF($H62="","",N($H62)-N($K62))</f>
        <v/>
      </c>
      <c r="N62" s="18"/>
    </row>
    <row r="63" customFormat="false" ht="15" hidden="false" customHeight="false" outlineLevel="0" collapsed="false">
      <c r="A63" s="18"/>
      <c r="B63" s="17"/>
      <c r="C63" s="18"/>
      <c r="D63" s="18"/>
      <c r="E63" s="18"/>
      <c r="F63" s="18"/>
      <c r="G63" s="18"/>
      <c r="H63" s="22"/>
      <c r="I63" s="18"/>
      <c r="J63" s="18"/>
      <c r="K63" s="22"/>
      <c r="L63" s="17"/>
      <c r="M63" s="21" t="str">
        <f aca="false">IF($H63="","",N($H63)-N($K63))</f>
        <v/>
      </c>
      <c r="N63" s="18"/>
    </row>
  </sheetData>
  <sheetProtection sheet="true" password="c7e9" objects="true" scenarios="true" sort="false" autoFilter="false"/>
  <mergeCells count="2">
    <mergeCell ref="A1:N1"/>
    <mergeCell ref="A2:N2"/>
  </mergeCells>
  <dataValidations count="3">
    <dataValidation allowBlank="true" errorStyle="stop" operator="between" showDropDown="false" showErrorMessage="false" showInputMessage="false" sqref="C4:C63" type="list">
      <formula1>SETTINGS!$A$5:$A$7</formula1>
      <formula2>0</formula2>
    </dataValidation>
    <dataValidation allowBlank="true" errorStyle="stop" operator="between" showDropDown="false" showErrorMessage="false" showInputMessage="false" sqref="D4:D63" type="list">
      <formula1>SETTINGS!$J$5:$J$17</formula1>
      <formula2>0</formula2>
    </dataValidation>
    <dataValidation allowBlank="true" errorStyle="stop" operator="between" showDropDown="false" showErrorMessage="false" showInputMessage="false" sqref="I4:I63" type="list">
      <formula1>SETTINGS!$G$5:$G$11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416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417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7" t="s">
        <v>418</v>
      </c>
      <c r="B4" s="28" t="n">
        <f aca="false">SETTINGS!$W$15</f>
        <v>0.4</v>
      </c>
      <c r="C4" s="28" t="n">
        <f aca="false">SETTINGS!$W$16</f>
        <v>0.35</v>
      </c>
      <c r="D4" s="28" t="n">
        <f aca="false">SETTINGS!$W$17</f>
        <v>0.25</v>
      </c>
    </row>
    <row r="6" customFormat="false" ht="15" hidden="false" customHeight="false" outlineLevel="0" collapsed="false">
      <c r="A6" s="15" t="s">
        <v>419</v>
      </c>
      <c r="B6" s="15" t="s">
        <v>99</v>
      </c>
      <c r="C6" s="15" t="s">
        <v>100</v>
      </c>
      <c r="D6" s="15" t="s">
        <v>101</v>
      </c>
      <c r="E6" s="15" t="s">
        <v>420</v>
      </c>
    </row>
    <row r="7" customFormat="false" ht="15" hidden="false" customHeight="false" outlineLevel="0" collapsed="false">
      <c r="A7" s="29" t="s">
        <v>421</v>
      </c>
      <c r="B7" s="30" t="n">
        <f aca="false">SUMIFS('PARTNER CONTRIBUTIONS'!$H$4:$H$63,'PARTNER CONTRIBUTIONS'!$C$4:$C$63,"Partner 1",'PARTNER CONTRIBUTIONS'!$D$4:$D$63,"Stock Purchase")</f>
        <v>8100</v>
      </c>
      <c r="C7" s="30" t="n">
        <f aca="false">SUMIFS('PARTNER CONTRIBUTIONS'!$H$4:$H$63,'PARTNER CONTRIBUTIONS'!$C$4:$C$63,"Partner 2",'PARTNER CONTRIBUTIONS'!$D$4:$D$63,"Stock Purchase")</f>
        <v>3550</v>
      </c>
      <c r="D7" s="30" t="n">
        <f aca="false">SUMIFS('PARTNER CONTRIBUTIONS'!$H$4:$H$63,'PARTNER CONTRIBUTIONS'!$C$4:$C$63,"Partner 3",'PARTNER CONTRIBUTIONS'!$D$4:$D$63,"Stock Purchase")</f>
        <v>4790</v>
      </c>
      <c r="E7" s="31" t="n">
        <f aca="false">SUM(B7:D7)</f>
        <v>16440</v>
      </c>
    </row>
    <row r="8" customFormat="false" ht="15" hidden="false" customHeight="false" outlineLevel="0" collapsed="false">
      <c r="A8" s="29" t="s">
        <v>422</v>
      </c>
      <c r="B8" s="30" t="n">
        <f aca="false">SUMIFS('PARTNER CONTRIBUTIONS'!$H$4:$H$63,'PARTNER CONTRIBUTIONS'!$C$4:$C$63,"Partner 1",'PARTNER CONTRIBUTIONS'!$D$4:$D$63,"Rent")</f>
        <v>0</v>
      </c>
      <c r="C8" s="30" t="n">
        <f aca="false">SUMIFS('PARTNER CONTRIBUTIONS'!$H$4:$H$63,'PARTNER CONTRIBUTIONS'!$C$4:$C$63,"Partner 2",'PARTNER CONTRIBUTIONS'!$D$4:$D$63,"Rent")</f>
        <v>0</v>
      </c>
      <c r="D8" s="30" t="n">
        <f aca="false">SUMIFS('PARTNER CONTRIBUTIONS'!$H$4:$H$63,'PARTNER CONTRIBUTIONS'!$C$4:$C$63,"Partner 3",'PARTNER CONTRIBUTIONS'!$D$4:$D$63,"Rent")</f>
        <v>0</v>
      </c>
      <c r="E8" s="31" t="n">
        <f aca="false">SUM(B8:D8)</f>
        <v>0</v>
      </c>
    </row>
    <row r="9" customFormat="false" ht="15" hidden="false" customHeight="false" outlineLevel="0" collapsed="false">
      <c r="A9" s="29" t="s">
        <v>423</v>
      </c>
      <c r="B9" s="30" t="n">
        <f aca="false">SUMIFS('PARTNER CONTRIBUTIONS'!$H$4:$H$63,'PARTNER CONTRIBUTIONS'!$C$4:$C$63,"Partner 1",'PARTNER CONTRIBUTIONS'!$D$4:$D$63,"Building Works")+SUMIFS('PARTNER CONTRIBUTIONS'!$H$4:$H$63,'PARTNER CONTRIBUTIONS'!$C$4:$C$63,"Partner 1",'PARTNER CONTRIBUTIONS'!$D$4:$D$63,"Shop Fittings")</f>
        <v>0</v>
      </c>
      <c r="C9" s="30" t="n">
        <f aca="false">SUMIFS('PARTNER CONTRIBUTIONS'!$H$4:$H$63,'PARTNER CONTRIBUTIONS'!$C$4:$C$63,"Partner 2",'PARTNER CONTRIBUTIONS'!$D$4:$D$63,"Building Works")+SUMIFS('PARTNER CONTRIBUTIONS'!$H$4:$H$63,'PARTNER CONTRIBUTIONS'!$C$4:$C$63,"Partner 2",'PARTNER CONTRIBUTIONS'!$D$4:$D$63,"Shop Fittings")</f>
        <v>0</v>
      </c>
      <c r="D9" s="30" t="n">
        <f aca="false">SUMIFS('PARTNER CONTRIBUTIONS'!$H$4:$H$63,'PARTNER CONTRIBUTIONS'!$C$4:$C$63,"Partner 3",'PARTNER CONTRIBUTIONS'!$D$4:$D$63,"Building Works")+SUMIFS('PARTNER CONTRIBUTIONS'!$H$4:$H$63,'PARTNER CONTRIBUTIONS'!$C$4:$C$63,"Partner 3",'PARTNER CONTRIBUTIONS'!$D$4:$D$63,"Shop Fittings")</f>
        <v>5000</v>
      </c>
      <c r="E9" s="31" t="n">
        <f aca="false">SUM(B9:D9)</f>
        <v>5000</v>
      </c>
    </row>
    <row r="10" customFormat="false" ht="15" hidden="false" customHeight="false" outlineLevel="0" collapsed="false">
      <c r="A10" s="29" t="s">
        <v>424</v>
      </c>
      <c r="B10" s="30" t="n">
        <f aca="false">SUMIFS('PARTNER CONTRIBUTIONS'!$H$4:$H$63,'PARTNER CONTRIBUTIONS'!$C$4:$C$63,"Partner 1")-SUMIFS('PARTNER CONTRIBUTIONS'!$H$4:$H$63,'PARTNER CONTRIBUTIONS'!$C$4:$C$63,"Partner 1",'PARTNER CONTRIBUTIONS'!$D$4:$D$63,"Stock Purchase")-SUMIFS('PARTNER CONTRIBUTIONS'!$H$4:$H$63,'PARTNER CONTRIBUTIONS'!$C$4:$C$63,"Partner 1",'PARTNER CONTRIBUTIONS'!$D$4:$D$63,"Rent")-SUMIFS('PARTNER CONTRIBUTIONS'!$H$4:$H$63,'PARTNER CONTRIBUTIONS'!$C$4:$C$63,"Partner 1",'PARTNER CONTRIBUTIONS'!$D$4:$D$63,"Building Works")-SUMIFS('PARTNER CONTRIBUTIONS'!$H$4:$H$63,'PARTNER CONTRIBUTIONS'!$C$4:$C$63,"Partner 1",'PARTNER CONTRIBUTIONS'!$D$4:$D$63,"Shop Fittings")-SUMIFS('PARTNER CONTRIBUTIONS'!$H$4:$H$63,'PARTNER CONTRIBUTIONS'!$C$4:$C$63,"Partner 1",'PARTNER CONTRIBUTIONS'!$D$4:$D$63,"Capital Contribution")-SUMIFS('PARTNER CONTRIBUTIONS'!$H$4:$H$63,'PARTNER CONTRIBUTIONS'!$C$4:$C$63,"Partner 1",'PARTNER CONTRIBUTIONS'!$D$4:$D$63,"Partner Loan")-SUMIFS('PARTNER CONTRIBUTIONS'!$H$4:$H$63,'PARTNER CONTRIBUTIONS'!$C$4:$C$63,"Partner 1",'PARTNER CONTRIBUTIONS'!$D$4:$D$63,"Withdrawal")</f>
        <v>0</v>
      </c>
      <c r="C10" s="30" t="n">
        <f aca="false">SUMIFS('PARTNER CONTRIBUTIONS'!$H$4:$H$63,'PARTNER CONTRIBUTIONS'!$C$4:$C$63,"Partner 2")-SUMIFS('PARTNER CONTRIBUTIONS'!$H$4:$H$63,'PARTNER CONTRIBUTIONS'!$C$4:$C$63,"Partner 2",'PARTNER CONTRIBUTIONS'!$D$4:$D$63,"Stock Purchase")-SUMIFS('PARTNER CONTRIBUTIONS'!$H$4:$H$63,'PARTNER CONTRIBUTIONS'!$C$4:$C$63,"Partner 2",'PARTNER CONTRIBUTIONS'!$D$4:$D$63,"Rent")-SUMIFS('PARTNER CONTRIBUTIONS'!$H$4:$H$63,'PARTNER CONTRIBUTIONS'!$C$4:$C$63,"Partner 2",'PARTNER CONTRIBUTIONS'!$D$4:$D$63,"Building Works")-SUMIFS('PARTNER CONTRIBUTIONS'!$H$4:$H$63,'PARTNER CONTRIBUTIONS'!$C$4:$C$63,"Partner 2",'PARTNER CONTRIBUTIONS'!$D$4:$D$63,"Shop Fittings")-SUMIFS('PARTNER CONTRIBUTIONS'!$H$4:$H$63,'PARTNER CONTRIBUTIONS'!$C$4:$C$63,"Partner 2",'PARTNER CONTRIBUTIONS'!$D$4:$D$63,"Capital Contribution")-SUMIFS('PARTNER CONTRIBUTIONS'!$H$4:$H$63,'PARTNER CONTRIBUTIONS'!$C$4:$C$63,"Partner 2",'PARTNER CONTRIBUTIONS'!$D$4:$D$63,"Partner Loan")-SUMIFS('PARTNER CONTRIBUTIONS'!$H$4:$H$63,'PARTNER CONTRIBUTIONS'!$C$4:$C$63,"Partner 2",'PARTNER CONTRIBUTIONS'!$D$4:$D$63,"Withdrawal")</f>
        <v>0</v>
      </c>
      <c r="D10" s="30" t="n">
        <f aca="false">SUMIFS('PARTNER CONTRIBUTIONS'!$H$4:$H$63,'PARTNER CONTRIBUTIONS'!$C$4:$C$63,"Partner 3")-SUMIFS('PARTNER CONTRIBUTIONS'!$H$4:$H$63,'PARTNER CONTRIBUTIONS'!$C$4:$C$63,"Partner 3",'PARTNER CONTRIBUTIONS'!$D$4:$D$63,"Stock Purchase")-SUMIFS('PARTNER CONTRIBUTIONS'!$H$4:$H$63,'PARTNER CONTRIBUTIONS'!$C$4:$C$63,"Partner 3",'PARTNER CONTRIBUTIONS'!$D$4:$D$63,"Rent")-SUMIFS('PARTNER CONTRIBUTIONS'!$H$4:$H$63,'PARTNER CONTRIBUTIONS'!$C$4:$C$63,"Partner 3",'PARTNER CONTRIBUTIONS'!$D$4:$D$63,"Building Works")-SUMIFS('PARTNER CONTRIBUTIONS'!$H$4:$H$63,'PARTNER CONTRIBUTIONS'!$C$4:$C$63,"Partner 3",'PARTNER CONTRIBUTIONS'!$D$4:$D$63,"Shop Fittings")-SUMIFS('PARTNER CONTRIBUTIONS'!$H$4:$H$63,'PARTNER CONTRIBUTIONS'!$C$4:$C$63,"Partner 3",'PARTNER CONTRIBUTIONS'!$D$4:$D$63,"Capital Contribution")-SUMIFS('PARTNER CONTRIBUTIONS'!$H$4:$H$63,'PARTNER CONTRIBUTIONS'!$C$4:$C$63,"Partner 3",'PARTNER CONTRIBUTIONS'!$D$4:$D$63,"Partner Loan")-SUMIFS('PARTNER CONTRIBUTIONS'!$H$4:$H$63,'PARTNER CONTRIBUTIONS'!$C$4:$C$63,"Partner 3",'PARTNER CONTRIBUTIONS'!$D$4:$D$63,"Withdrawal")</f>
        <v>0</v>
      </c>
      <c r="E10" s="31" t="n">
        <f aca="false">SUM(B10:D10)</f>
        <v>0</v>
      </c>
    </row>
    <row r="11" customFormat="false" ht="15" hidden="false" customHeight="false" outlineLevel="0" collapsed="false">
      <c r="A11" s="29" t="s">
        <v>425</v>
      </c>
      <c r="B11" s="30" t="n">
        <f aca="false">SUMIFS('PARTNER CONTRIBUTIONS'!$H$4:$H$63,'PARTNER CONTRIBUTIONS'!$C$4:$C$63,"Partner 1",'PARTNER CONTRIBUTIONS'!$D$4:$D$63,"Capital Contribution")</f>
        <v>10000</v>
      </c>
      <c r="C11" s="30" t="n">
        <f aca="false">SUMIFS('PARTNER CONTRIBUTIONS'!$H$4:$H$63,'PARTNER CONTRIBUTIONS'!$C$4:$C$63,"Partner 2",'PARTNER CONTRIBUTIONS'!$D$4:$D$63,"Capital Contribution")</f>
        <v>0</v>
      </c>
      <c r="D11" s="30" t="n">
        <f aca="false">SUMIFS('PARTNER CONTRIBUTIONS'!$H$4:$H$63,'PARTNER CONTRIBUTIONS'!$C$4:$C$63,"Partner 3",'PARTNER CONTRIBUTIONS'!$D$4:$D$63,"Capital Contribution")</f>
        <v>0</v>
      </c>
      <c r="E11" s="31" t="n">
        <f aca="false">SUM(B11:D11)</f>
        <v>10000</v>
      </c>
    </row>
    <row r="12" customFormat="false" ht="15" hidden="false" customHeight="false" outlineLevel="0" collapsed="false">
      <c r="A12" s="29" t="s">
        <v>426</v>
      </c>
      <c r="B12" s="30" t="n">
        <f aca="false">SUMIFS('PARTNER CONTRIBUTIONS'!$H$4:$H$63,'PARTNER CONTRIBUTIONS'!$C$4:$C$63,"Partner 1",'PARTNER CONTRIBUTIONS'!$D$4:$D$63,"Partner Loan")</f>
        <v>0</v>
      </c>
      <c r="C12" s="30" t="n">
        <f aca="false">SUMIFS('PARTNER CONTRIBUTIONS'!$H$4:$H$63,'PARTNER CONTRIBUTIONS'!$C$4:$C$63,"Partner 2",'PARTNER CONTRIBUTIONS'!$D$4:$D$63,"Partner Loan")</f>
        <v>0</v>
      </c>
      <c r="D12" s="30" t="n">
        <f aca="false">SUMIFS('PARTNER CONTRIBUTIONS'!$H$4:$H$63,'PARTNER CONTRIBUTIONS'!$C$4:$C$63,"Partner 3",'PARTNER CONTRIBUTIONS'!$D$4:$D$63,"Partner Loan")</f>
        <v>0</v>
      </c>
      <c r="E12" s="31" t="n">
        <f aca="false">SUM(B12:D12)</f>
        <v>0</v>
      </c>
    </row>
    <row r="13" customFormat="false" ht="15" hidden="false" customHeight="false" outlineLevel="0" collapsed="false">
      <c r="A13" s="32" t="s">
        <v>427</v>
      </c>
      <c r="B13" s="31" t="n">
        <f aca="false">SUMIFS('PARTNER CONTRIBUTIONS'!$H$4:$H$63,'PARTNER CONTRIBUTIONS'!$C$4:$C$63,"Partner 1")-SUMIFS('PARTNER CONTRIBUTIONS'!$H$4:$H$63,'PARTNER CONTRIBUTIONS'!$C$4:$C$63,"Partner 1",'PARTNER CONTRIBUTIONS'!$D$4:$D$63,"Withdrawal")</f>
        <v>18100</v>
      </c>
      <c r="C13" s="31" t="n">
        <f aca="false">SUMIFS('PARTNER CONTRIBUTIONS'!$H$4:$H$63,'PARTNER CONTRIBUTIONS'!$C$4:$C$63,"Partner 2")-SUMIFS('PARTNER CONTRIBUTIONS'!$H$4:$H$63,'PARTNER CONTRIBUTIONS'!$C$4:$C$63,"Partner 2",'PARTNER CONTRIBUTIONS'!$D$4:$D$63,"Withdrawal")</f>
        <v>3550</v>
      </c>
      <c r="D13" s="31" t="n">
        <f aca="false">SUMIFS('PARTNER CONTRIBUTIONS'!$H$4:$H$63,'PARTNER CONTRIBUTIONS'!$C$4:$C$63,"Partner 3")-SUMIFS('PARTNER CONTRIBUTIONS'!$H$4:$H$63,'PARTNER CONTRIBUTIONS'!$C$4:$C$63,"Partner 3",'PARTNER CONTRIBUTIONS'!$D$4:$D$63,"Withdrawal")</f>
        <v>9790</v>
      </c>
      <c r="E13" s="31" t="n">
        <f aca="false">SUM(B13:D13)</f>
        <v>31440</v>
      </c>
    </row>
    <row r="14" customFormat="false" ht="15" hidden="false" customHeight="false" outlineLevel="0" collapsed="false">
      <c r="A14" s="29" t="s">
        <v>428</v>
      </c>
      <c r="B14" s="30" t="n">
        <f aca="false">SUMIFS('PARTNER CONTRIBUTIONS'!$K$4:$K$63,'PARTNER CONTRIBUTIONS'!$C$4:$C$63,"Partner 1")</f>
        <v>0</v>
      </c>
      <c r="C14" s="30" t="n">
        <f aca="false">SUMIFS('PARTNER CONTRIBUTIONS'!$K$4:$K$63,'PARTNER CONTRIBUTIONS'!$C$4:$C$63,"Partner 2")</f>
        <v>0</v>
      </c>
      <c r="D14" s="30" t="n">
        <f aca="false">SUMIFS('PARTNER CONTRIBUTIONS'!$K$4:$K$63,'PARTNER CONTRIBUTIONS'!$C$4:$C$63,"Partner 3")</f>
        <v>2000</v>
      </c>
      <c r="E14" s="31" t="n">
        <f aca="false">SUM(B14:D14)</f>
        <v>2000</v>
      </c>
    </row>
    <row r="15" customFormat="false" ht="15" hidden="false" customHeight="false" outlineLevel="0" collapsed="false">
      <c r="A15" s="29" t="s">
        <v>429</v>
      </c>
      <c r="B15" s="30" t="n">
        <f aca="false">SUMIFS('PARTNER CONTRIBUTIONS'!$H$4:$H$63,'PARTNER CONTRIBUTIONS'!$C$4:$C$63,"Partner 1",'PARTNER CONTRIBUTIONS'!$D$4:$D$63,"Withdrawal")</f>
        <v>0</v>
      </c>
      <c r="C15" s="30" t="n">
        <f aca="false">SUMIFS('PARTNER CONTRIBUTIONS'!$H$4:$H$63,'PARTNER CONTRIBUTIONS'!$C$4:$C$63,"Partner 2",'PARTNER CONTRIBUTIONS'!$D$4:$D$63,"Withdrawal")</f>
        <v>0</v>
      </c>
      <c r="D15" s="30" t="n">
        <f aca="false">SUMIFS('PARTNER CONTRIBUTIONS'!$H$4:$H$63,'PARTNER CONTRIBUTIONS'!$C$4:$C$63,"Partner 3",'PARTNER CONTRIBUTIONS'!$D$4:$D$63,"Withdrawal")</f>
        <v>0</v>
      </c>
      <c r="E15" s="31" t="n">
        <f aca="false">SUM(B15:D15)</f>
        <v>0</v>
      </c>
    </row>
    <row r="16" customFormat="false" ht="15" hidden="false" customHeight="false" outlineLevel="0" collapsed="false">
      <c r="A16" s="32" t="s">
        <v>430</v>
      </c>
      <c r="B16" s="31" t="n">
        <f aca="false">B13-B14</f>
        <v>18100</v>
      </c>
      <c r="C16" s="31" t="n">
        <f aca="false">C13-C14</f>
        <v>3550</v>
      </c>
      <c r="D16" s="31" t="n">
        <f aca="false">D13-D14</f>
        <v>7790</v>
      </c>
      <c r="E16" s="31" t="n">
        <f aca="false">SUM(B16:D16)</f>
        <v>29440</v>
      </c>
    </row>
    <row r="17" customFormat="false" ht="15" hidden="false" customHeight="false" outlineLevel="0" collapsed="false">
      <c r="A17" s="32" t="s">
        <v>431</v>
      </c>
      <c r="B17" s="31" t="n">
        <f aca="false">B16-B15</f>
        <v>18100</v>
      </c>
      <c r="C17" s="31" t="n">
        <f aca="false">C16-C15</f>
        <v>3550</v>
      </c>
      <c r="D17" s="31" t="n">
        <f aca="false">D16-D15</f>
        <v>7790</v>
      </c>
      <c r="E17" s="31" t="n">
        <f aca="false">SUM(B17:D17)</f>
        <v>29440</v>
      </c>
    </row>
    <row r="19" customFormat="false" ht="15" hidden="false" customHeight="false" outlineLevel="0" collapsed="false">
      <c r="A19" s="33" t="s">
        <v>432</v>
      </c>
    </row>
  </sheetData>
  <sheetProtection sheet="true" password="c7e9" objects="true" scenarios="true" sort="false" autoFilter="false"/>
  <mergeCells count="2">
    <mergeCell ref="A1:F1"/>
    <mergeCell ref="A2:F2"/>
  </mergeCells>
  <conditionalFormatting sqref="B16:E16">
    <cfRule type="cellIs" priority="2" operator="greater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16" min="6" style="0" width="13"/>
    <col collapsed="false" customWidth="true" hidden="false" outlineLevel="0" max="17" min="17" style="0" width="24"/>
    <col collapsed="false" customWidth="true" hidden="false" outlineLevel="0" max="18" min="18" style="0" width="13"/>
  </cols>
  <sheetData>
    <row r="1" customFormat="false" ht="30" hidden="false" customHeight="true" outlineLevel="0" collapsed="false">
      <c r="A1" s="1" t="s">
        <v>433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434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27.75" hidden="false" customHeight="true" outlineLevel="0" collapsed="false">
      <c r="A3" s="15" t="s">
        <v>435</v>
      </c>
      <c r="B3" s="15" t="s">
        <v>387</v>
      </c>
      <c r="C3" s="15" t="s">
        <v>436</v>
      </c>
      <c r="D3" s="15" t="s">
        <v>437</v>
      </c>
      <c r="E3" s="15" t="s">
        <v>178</v>
      </c>
      <c r="F3" s="15" t="s">
        <v>438</v>
      </c>
      <c r="G3" s="15" t="s">
        <v>439</v>
      </c>
      <c r="H3" s="15" t="s">
        <v>440</v>
      </c>
      <c r="I3" s="15" t="s">
        <v>441</v>
      </c>
      <c r="J3" s="15" t="s">
        <v>203</v>
      </c>
      <c r="K3" s="15" t="s">
        <v>219</v>
      </c>
      <c r="L3" s="15" t="s">
        <v>442</v>
      </c>
      <c r="M3" s="15" t="s">
        <v>443</v>
      </c>
      <c r="N3" s="15" t="s">
        <v>96</v>
      </c>
      <c r="O3" s="15" t="s">
        <v>444</v>
      </c>
      <c r="P3" s="15" t="s">
        <v>393</v>
      </c>
      <c r="Q3" s="15" t="s">
        <v>221</v>
      </c>
      <c r="R3" s="15" t="s">
        <v>445</v>
      </c>
    </row>
    <row r="4" customFormat="false" ht="23.85" hidden="false" customHeight="false" outlineLevel="0" collapsed="false">
      <c r="A4" s="18" t="s">
        <v>446</v>
      </c>
      <c r="B4" s="17" t="n">
        <v>46054</v>
      </c>
      <c r="C4" s="18" t="s">
        <v>447</v>
      </c>
      <c r="D4" s="18" t="s">
        <v>63</v>
      </c>
      <c r="E4" s="18" t="s">
        <v>448</v>
      </c>
      <c r="F4" s="18" t="s">
        <v>449</v>
      </c>
      <c r="G4" s="22" t="n">
        <v>3000</v>
      </c>
      <c r="H4" s="22" t="n">
        <v>0</v>
      </c>
      <c r="I4" s="21" t="n">
        <f aca="false">IF(N($G4)+N($H4)=0,"",N($G4)+N($H4))</f>
        <v>3000</v>
      </c>
      <c r="J4" s="18" t="s">
        <v>281</v>
      </c>
      <c r="K4" s="18" t="s">
        <v>243</v>
      </c>
      <c r="L4" s="18" t="s">
        <v>232</v>
      </c>
      <c r="M4" s="18" t="s">
        <v>275</v>
      </c>
      <c r="N4" s="18"/>
      <c r="O4" s="18" t="s">
        <v>275</v>
      </c>
      <c r="P4" s="17"/>
      <c r="Q4" s="18" t="s">
        <v>398</v>
      </c>
      <c r="R4" s="18"/>
    </row>
    <row r="5" customFormat="false" ht="23.85" hidden="false" customHeight="false" outlineLevel="0" collapsed="false">
      <c r="A5" s="18" t="s">
        <v>406</v>
      </c>
      <c r="B5" s="17" t="n">
        <v>46030</v>
      </c>
      <c r="C5" s="18" t="s">
        <v>450</v>
      </c>
      <c r="D5" s="18" t="s">
        <v>67</v>
      </c>
      <c r="E5" s="18" t="s">
        <v>451</v>
      </c>
      <c r="F5" s="18" t="s">
        <v>452</v>
      </c>
      <c r="G5" s="22" t="n">
        <v>5000</v>
      </c>
      <c r="H5" s="22" t="n">
        <v>0</v>
      </c>
      <c r="I5" s="21" t="n">
        <f aca="false">IF(N($G5)+N($H5)=0,"",N($G5)+N($H5))</f>
        <v>5000</v>
      </c>
      <c r="J5" s="18" t="s">
        <v>101</v>
      </c>
      <c r="K5" s="18" t="s">
        <v>243</v>
      </c>
      <c r="L5" s="18" t="s">
        <v>275</v>
      </c>
      <c r="M5" s="18" t="s">
        <v>232</v>
      </c>
      <c r="N5" s="18" t="s">
        <v>101</v>
      </c>
      <c r="O5" s="18" t="s">
        <v>275</v>
      </c>
      <c r="P5" s="17"/>
      <c r="Q5" s="18" t="s">
        <v>453</v>
      </c>
      <c r="R5" s="18"/>
    </row>
    <row r="6" customFormat="false" ht="23.85" hidden="false" customHeight="false" outlineLevel="0" collapsed="false">
      <c r="A6" s="18" t="s">
        <v>454</v>
      </c>
      <c r="B6" s="17" t="n">
        <v>46068</v>
      </c>
      <c r="C6" s="18" t="s">
        <v>455</v>
      </c>
      <c r="D6" s="18" t="s">
        <v>81</v>
      </c>
      <c r="E6" s="18" t="s">
        <v>456</v>
      </c>
      <c r="F6" s="18" t="s">
        <v>457</v>
      </c>
      <c r="G6" s="22" t="n">
        <v>600</v>
      </c>
      <c r="H6" s="22" t="n">
        <v>120</v>
      </c>
      <c r="I6" s="21" t="n">
        <f aca="false">IF(N($G6)+N($H6)=0,"",N($G6)+N($H6))</f>
        <v>720</v>
      </c>
      <c r="J6" s="18" t="s">
        <v>281</v>
      </c>
      <c r="K6" s="18" t="s">
        <v>243</v>
      </c>
      <c r="L6" s="18" t="s">
        <v>232</v>
      </c>
      <c r="M6" s="18" t="s">
        <v>275</v>
      </c>
      <c r="N6" s="18"/>
      <c r="O6" s="18" t="s">
        <v>275</v>
      </c>
      <c r="P6" s="17"/>
      <c r="Q6" s="18" t="s">
        <v>398</v>
      </c>
      <c r="R6" s="18"/>
    </row>
    <row r="7" customFormat="false" ht="15" hidden="false" customHeight="false" outlineLevel="0" collapsed="false">
      <c r="A7" s="18"/>
      <c r="B7" s="17"/>
      <c r="C7" s="18"/>
      <c r="D7" s="18"/>
      <c r="E7" s="18"/>
      <c r="F7" s="18"/>
      <c r="G7" s="22"/>
      <c r="H7" s="22"/>
      <c r="I7" s="21" t="str">
        <f aca="false">IF(N($G7)+N($H7)=0,"",N($G7)+N($H7))</f>
        <v/>
      </c>
      <c r="J7" s="18"/>
      <c r="K7" s="18"/>
      <c r="L7" s="18"/>
      <c r="M7" s="18"/>
      <c r="N7" s="18"/>
      <c r="O7" s="18"/>
      <c r="P7" s="17"/>
      <c r="Q7" s="18"/>
      <c r="R7" s="18"/>
    </row>
    <row r="8" customFormat="false" ht="15" hidden="false" customHeight="false" outlineLevel="0" collapsed="false">
      <c r="A8" s="18"/>
      <c r="B8" s="17"/>
      <c r="C8" s="18"/>
      <c r="D8" s="18"/>
      <c r="E8" s="18"/>
      <c r="F8" s="18"/>
      <c r="G8" s="22"/>
      <c r="H8" s="22"/>
      <c r="I8" s="21" t="str">
        <f aca="false">IF(N($G8)+N($H8)=0,"",N($G8)+N($H8))</f>
        <v/>
      </c>
      <c r="J8" s="18"/>
      <c r="K8" s="18"/>
      <c r="L8" s="18"/>
      <c r="M8" s="18"/>
      <c r="N8" s="18"/>
      <c r="O8" s="18"/>
      <c r="P8" s="17"/>
      <c r="Q8" s="18"/>
      <c r="R8" s="18"/>
    </row>
    <row r="9" customFormat="false" ht="15" hidden="false" customHeight="false" outlineLevel="0" collapsed="false">
      <c r="A9" s="18"/>
      <c r="B9" s="17"/>
      <c r="C9" s="18"/>
      <c r="D9" s="18"/>
      <c r="E9" s="18"/>
      <c r="F9" s="18"/>
      <c r="G9" s="22"/>
      <c r="H9" s="22"/>
      <c r="I9" s="21" t="str">
        <f aca="false">IF(N($G9)+N($H9)=0,"",N($G9)+N($H9))</f>
        <v/>
      </c>
      <c r="J9" s="18"/>
      <c r="K9" s="18"/>
      <c r="L9" s="18"/>
      <c r="M9" s="18"/>
      <c r="N9" s="18"/>
      <c r="O9" s="18"/>
      <c r="P9" s="17"/>
      <c r="Q9" s="18"/>
      <c r="R9" s="18"/>
    </row>
    <row r="10" customFormat="false" ht="15" hidden="false" customHeight="false" outlineLevel="0" collapsed="false">
      <c r="A10" s="18"/>
      <c r="B10" s="17"/>
      <c r="C10" s="18"/>
      <c r="D10" s="18"/>
      <c r="E10" s="18"/>
      <c r="F10" s="18"/>
      <c r="G10" s="22"/>
      <c r="H10" s="22"/>
      <c r="I10" s="21" t="str">
        <f aca="false">IF(N($G10)+N($H10)=0,"",N($G10)+N($H10))</f>
        <v/>
      </c>
      <c r="J10" s="18"/>
      <c r="K10" s="18"/>
      <c r="L10" s="18"/>
      <c r="M10" s="18"/>
      <c r="N10" s="18"/>
      <c r="O10" s="18"/>
      <c r="P10" s="17"/>
      <c r="Q10" s="18"/>
      <c r="R10" s="18"/>
    </row>
    <row r="11" customFormat="false" ht="15" hidden="false" customHeight="false" outlineLevel="0" collapsed="false">
      <c r="A11" s="18"/>
      <c r="B11" s="17"/>
      <c r="C11" s="18"/>
      <c r="D11" s="18"/>
      <c r="E11" s="18"/>
      <c r="F11" s="18"/>
      <c r="G11" s="22"/>
      <c r="H11" s="22"/>
      <c r="I11" s="21" t="str">
        <f aca="false">IF(N($G11)+N($H11)=0,"",N($G11)+N($H11))</f>
        <v/>
      </c>
      <c r="J11" s="18"/>
      <c r="K11" s="18"/>
      <c r="L11" s="18"/>
      <c r="M11" s="18"/>
      <c r="N11" s="18"/>
      <c r="O11" s="18"/>
      <c r="P11" s="17"/>
      <c r="Q11" s="18"/>
      <c r="R11" s="18"/>
    </row>
    <row r="12" customFormat="false" ht="15" hidden="false" customHeight="false" outlineLevel="0" collapsed="false">
      <c r="A12" s="18"/>
      <c r="B12" s="17"/>
      <c r="C12" s="18"/>
      <c r="D12" s="18"/>
      <c r="E12" s="18"/>
      <c r="F12" s="18"/>
      <c r="G12" s="22"/>
      <c r="H12" s="22"/>
      <c r="I12" s="21" t="str">
        <f aca="false">IF(N($G12)+N($H12)=0,"",N($G12)+N($H12))</f>
        <v/>
      </c>
      <c r="J12" s="18"/>
      <c r="K12" s="18"/>
      <c r="L12" s="18"/>
      <c r="M12" s="18"/>
      <c r="N12" s="18"/>
      <c r="O12" s="18"/>
      <c r="P12" s="17"/>
      <c r="Q12" s="18"/>
      <c r="R12" s="18"/>
    </row>
    <row r="13" customFormat="false" ht="15" hidden="false" customHeight="false" outlineLevel="0" collapsed="false">
      <c r="A13" s="18"/>
      <c r="B13" s="17"/>
      <c r="C13" s="18"/>
      <c r="D13" s="18"/>
      <c r="E13" s="18"/>
      <c r="F13" s="18"/>
      <c r="G13" s="22"/>
      <c r="H13" s="22"/>
      <c r="I13" s="21" t="str">
        <f aca="false">IF(N($G13)+N($H13)=0,"",N($G13)+N($H13))</f>
        <v/>
      </c>
      <c r="J13" s="18"/>
      <c r="K13" s="18"/>
      <c r="L13" s="18"/>
      <c r="M13" s="18"/>
      <c r="N13" s="18"/>
      <c r="O13" s="18"/>
      <c r="P13" s="17"/>
      <c r="Q13" s="18"/>
      <c r="R13" s="18"/>
    </row>
    <row r="14" customFormat="false" ht="15" hidden="false" customHeight="false" outlineLevel="0" collapsed="false">
      <c r="A14" s="18"/>
      <c r="B14" s="17"/>
      <c r="C14" s="18"/>
      <c r="D14" s="18"/>
      <c r="E14" s="18"/>
      <c r="F14" s="18"/>
      <c r="G14" s="22"/>
      <c r="H14" s="22"/>
      <c r="I14" s="21" t="str">
        <f aca="false">IF(N($G14)+N($H14)=0,"",N($G14)+N($H14))</f>
        <v/>
      </c>
      <c r="J14" s="18"/>
      <c r="K14" s="18"/>
      <c r="L14" s="18"/>
      <c r="M14" s="18"/>
      <c r="N14" s="18"/>
      <c r="O14" s="18"/>
      <c r="P14" s="17"/>
      <c r="Q14" s="18"/>
      <c r="R14" s="18"/>
    </row>
    <row r="15" customFormat="false" ht="15" hidden="false" customHeight="false" outlineLevel="0" collapsed="false">
      <c r="A15" s="18"/>
      <c r="B15" s="17"/>
      <c r="C15" s="18"/>
      <c r="D15" s="18"/>
      <c r="E15" s="18"/>
      <c r="F15" s="18"/>
      <c r="G15" s="22"/>
      <c r="H15" s="22"/>
      <c r="I15" s="21" t="str">
        <f aca="false">IF(N($G15)+N($H15)=0,"",N($G15)+N($H15))</f>
        <v/>
      </c>
      <c r="J15" s="18"/>
      <c r="K15" s="18"/>
      <c r="L15" s="18"/>
      <c r="M15" s="18"/>
      <c r="N15" s="18"/>
      <c r="O15" s="18"/>
      <c r="P15" s="17"/>
      <c r="Q15" s="18"/>
      <c r="R15" s="18"/>
    </row>
    <row r="16" customFormat="false" ht="15" hidden="false" customHeight="false" outlineLevel="0" collapsed="false">
      <c r="A16" s="18"/>
      <c r="B16" s="17"/>
      <c r="C16" s="18"/>
      <c r="D16" s="18"/>
      <c r="E16" s="18"/>
      <c r="F16" s="18"/>
      <c r="G16" s="22"/>
      <c r="H16" s="22"/>
      <c r="I16" s="21" t="str">
        <f aca="false">IF(N($G16)+N($H16)=0,"",N($G16)+N($H16))</f>
        <v/>
      </c>
      <c r="J16" s="18"/>
      <c r="K16" s="18"/>
      <c r="L16" s="18"/>
      <c r="M16" s="18"/>
      <c r="N16" s="18"/>
      <c r="O16" s="18"/>
      <c r="P16" s="17"/>
      <c r="Q16" s="18"/>
      <c r="R16" s="18"/>
    </row>
    <row r="17" customFormat="false" ht="15" hidden="false" customHeight="false" outlineLevel="0" collapsed="false">
      <c r="A17" s="18"/>
      <c r="B17" s="17"/>
      <c r="C17" s="18"/>
      <c r="D17" s="18"/>
      <c r="E17" s="18"/>
      <c r="F17" s="18"/>
      <c r="G17" s="22"/>
      <c r="H17" s="22"/>
      <c r="I17" s="21" t="str">
        <f aca="false">IF(N($G17)+N($H17)=0,"",N($G17)+N($H17))</f>
        <v/>
      </c>
      <c r="J17" s="18"/>
      <c r="K17" s="18"/>
      <c r="L17" s="18"/>
      <c r="M17" s="18"/>
      <c r="N17" s="18"/>
      <c r="O17" s="18"/>
      <c r="P17" s="17"/>
      <c r="Q17" s="18"/>
      <c r="R17" s="18"/>
    </row>
    <row r="18" customFormat="false" ht="15" hidden="false" customHeight="false" outlineLevel="0" collapsed="false">
      <c r="A18" s="18"/>
      <c r="B18" s="17"/>
      <c r="C18" s="18"/>
      <c r="D18" s="18"/>
      <c r="E18" s="18"/>
      <c r="F18" s="18"/>
      <c r="G18" s="22"/>
      <c r="H18" s="22"/>
      <c r="I18" s="21" t="str">
        <f aca="false">IF(N($G18)+N($H18)=0,"",N($G18)+N($H18))</f>
        <v/>
      </c>
      <c r="J18" s="18"/>
      <c r="K18" s="18"/>
      <c r="L18" s="18"/>
      <c r="M18" s="18"/>
      <c r="N18" s="18"/>
      <c r="O18" s="18"/>
      <c r="P18" s="17"/>
      <c r="Q18" s="18"/>
      <c r="R18" s="18"/>
    </row>
    <row r="19" customFormat="false" ht="15" hidden="false" customHeight="false" outlineLevel="0" collapsed="false">
      <c r="A19" s="18"/>
      <c r="B19" s="17"/>
      <c r="C19" s="18"/>
      <c r="D19" s="18"/>
      <c r="E19" s="18"/>
      <c r="F19" s="18"/>
      <c r="G19" s="22"/>
      <c r="H19" s="22"/>
      <c r="I19" s="21" t="str">
        <f aca="false">IF(N($G19)+N($H19)=0,"",N($G19)+N($H19))</f>
        <v/>
      </c>
      <c r="J19" s="18"/>
      <c r="K19" s="18"/>
      <c r="L19" s="18"/>
      <c r="M19" s="18"/>
      <c r="N19" s="18"/>
      <c r="O19" s="18"/>
      <c r="P19" s="17"/>
      <c r="Q19" s="18"/>
      <c r="R19" s="18"/>
    </row>
    <row r="20" customFormat="false" ht="15" hidden="false" customHeight="false" outlineLevel="0" collapsed="false">
      <c r="A20" s="18"/>
      <c r="B20" s="17"/>
      <c r="C20" s="18"/>
      <c r="D20" s="18"/>
      <c r="E20" s="18"/>
      <c r="F20" s="18"/>
      <c r="G20" s="22"/>
      <c r="H20" s="22"/>
      <c r="I20" s="21" t="str">
        <f aca="false">IF(N($G20)+N($H20)=0,"",N($G20)+N($H20))</f>
        <v/>
      </c>
      <c r="J20" s="18"/>
      <c r="K20" s="18"/>
      <c r="L20" s="18"/>
      <c r="M20" s="18"/>
      <c r="N20" s="18"/>
      <c r="O20" s="18"/>
      <c r="P20" s="17"/>
      <c r="Q20" s="18"/>
      <c r="R20" s="18"/>
    </row>
    <row r="21" customFormat="false" ht="15" hidden="false" customHeight="false" outlineLevel="0" collapsed="false">
      <c r="A21" s="18"/>
      <c r="B21" s="17"/>
      <c r="C21" s="18"/>
      <c r="D21" s="18"/>
      <c r="E21" s="18"/>
      <c r="F21" s="18"/>
      <c r="G21" s="22"/>
      <c r="H21" s="22"/>
      <c r="I21" s="21" t="str">
        <f aca="false">IF(N($G21)+N($H21)=0,"",N($G21)+N($H21))</f>
        <v/>
      </c>
      <c r="J21" s="18"/>
      <c r="K21" s="18"/>
      <c r="L21" s="18"/>
      <c r="M21" s="18"/>
      <c r="N21" s="18"/>
      <c r="O21" s="18"/>
      <c r="P21" s="17"/>
      <c r="Q21" s="18"/>
      <c r="R21" s="18"/>
    </row>
    <row r="22" customFormat="false" ht="15" hidden="false" customHeight="false" outlineLevel="0" collapsed="false">
      <c r="A22" s="18"/>
      <c r="B22" s="17"/>
      <c r="C22" s="18"/>
      <c r="D22" s="18"/>
      <c r="E22" s="18"/>
      <c r="F22" s="18"/>
      <c r="G22" s="22"/>
      <c r="H22" s="22"/>
      <c r="I22" s="21" t="str">
        <f aca="false">IF(N($G22)+N($H22)=0,"",N($G22)+N($H22))</f>
        <v/>
      </c>
      <c r="J22" s="18"/>
      <c r="K22" s="18"/>
      <c r="L22" s="18"/>
      <c r="M22" s="18"/>
      <c r="N22" s="18"/>
      <c r="O22" s="18"/>
      <c r="P22" s="17"/>
      <c r="Q22" s="18"/>
      <c r="R22" s="18"/>
    </row>
    <row r="23" customFormat="false" ht="15" hidden="false" customHeight="false" outlineLevel="0" collapsed="false">
      <c r="A23" s="18"/>
      <c r="B23" s="17"/>
      <c r="C23" s="18"/>
      <c r="D23" s="18"/>
      <c r="E23" s="18"/>
      <c r="F23" s="18"/>
      <c r="G23" s="22"/>
      <c r="H23" s="22"/>
      <c r="I23" s="21" t="str">
        <f aca="false">IF(N($G23)+N($H23)=0,"",N($G23)+N($H23))</f>
        <v/>
      </c>
      <c r="J23" s="18"/>
      <c r="K23" s="18"/>
      <c r="L23" s="18"/>
      <c r="M23" s="18"/>
      <c r="N23" s="18"/>
      <c r="O23" s="18"/>
      <c r="P23" s="17"/>
      <c r="Q23" s="18"/>
      <c r="R23" s="18"/>
    </row>
    <row r="24" customFormat="false" ht="15" hidden="false" customHeight="false" outlineLevel="0" collapsed="false">
      <c r="A24" s="18"/>
      <c r="B24" s="17"/>
      <c r="C24" s="18"/>
      <c r="D24" s="18"/>
      <c r="E24" s="18"/>
      <c r="F24" s="18"/>
      <c r="G24" s="22"/>
      <c r="H24" s="22"/>
      <c r="I24" s="21" t="str">
        <f aca="false">IF(N($G24)+N($H24)=0,"",N($G24)+N($H24))</f>
        <v/>
      </c>
      <c r="J24" s="18"/>
      <c r="K24" s="18"/>
      <c r="L24" s="18"/>
      <c r="M24" s="18"/>
      <c r="N24" s="18"/>
      <c r="O24" s="18"/>
      <c r="P24" s="17"/>
      <c r="Q24" s="18"/>
      <c r="R24" s="18"/>
    </row>
    <row r="25" customFormat="false" ht="15" hidden="false" customHeight="false" outlineLevel="0" collapsed="false">
      <c r="A25" s="18"/>
      <c r="B25" s="17"/>
      <c r="C25" s="18"/>
      <c r="D25" s="18"/>
      <c r="E25" s="18"/>
      <c r="F25" s="18"/>
      <c r="G25" s="22"/>
      <c r="H25" s="22"/>
      <c r="I25" s="21" t="str">
        <f aca="false">IF(N($G25)+N($H25)=0,"",N($G25)+N($H25))</f>
        <v/>
      </c>
      <c r="J25" s="18"/>
      <c r="K25" s="18"/>
      <c r="L25" s="18"/>
      <c r="M25" s="18"/>
      <c r="N25" s="18"/>
      <c r="O25" s="18"/>
      <c r="P25" s="17"/>
      <c r="Q25" s="18"/>
      <c r="R25" s="18"/>
    </row>
    <row r="26" customFormat="false" ht="15" hidden="false" customHeight="false" outlineLevel="0" collapsed="false">
      <c r="A26" s="18"/>
      <c r="B26" s="17"/>
      <c r="C26" s="18"/>
      <c r="D26" s="18"/>
      <c r="E26" s="18"/>
      <c r="F26" s="18"/>
      <c r="G26" s="22"/>
      <c r="H26" s="22"/>
      <c r="I26" s="21" t="str">
        <f aca="false">IF(N($G26)+N($H26)=0,"",N($G26)+N($H26))</f>
        <v/>
      </c>
      <c r="J26" s="18"/>
      <c r="K26" s="18"/>
      <c r="L26" s="18"/>
      <c r="M26" s="18"/>
      <c r="N26" s="18"/>
      <c r="O26" s="18"/>
      <c r="P26" s="17"/>
      <c r="Q26" s="18"/>
      <c r="R26" s="18"/>
    </row>
    <row r="27" customFormat="false" ht="15" hidden="false" customHeight="false" outlineLevel="0" collapsed="false">
      <c r="A27" s="18"/>
      <c r="B27" s="17"/>
      <c r="C27" s="18"/>
      <c r="D27" s="18"/>
      <c r="E27" s="18"/>
      <c r="F27" s="18"/>
      <c r="G27" s="22"/>
      <c r="H27" s="22"/>
      <c r="I27" s="21" t="str">
        <f aca="false">IF(N($G27)+N($H27)=0,"",N($G27)+N($H27))</f>
        <v/>
      </c>
      <c r="J27" s="18"/>
      <c r="K27" s="18"/>
      <c r="L27" s="18"/>
      <c r="M27" s="18"/>
      <c r="N27" s="18"/>
      <c r="O27" s="18"/>
      <c r="P27" s="17"/>
      <c r="Q27" s="18"/>
      <c r="R27" s="18"/>
    </row>
    <row r="28" customFormat="false" ht="15" hidden="false" customHeight="false" outlineLevel="0" collapsed="false">
      <c r="A28" s="18"/>
      <c r="B28" s="17"/>
      <c r="C28" s="18"/>
      <c r="D28" s="18"/>
      <c r="E28" s="18"/>
      <c r="F28" s="18"/>
      <c r="G28" s="22"/>
      <c r="H28" s="22"/>
      <c r="I28" s="21" t="str">
        <f aca="false">IF(N($G28)+N($H28)=0,"",N($G28)+N($H28))</f>
        <v/>
      </c>
      <c r="J28" s="18"/>
      <c r="K28" s="18"/>
      <c r="L28" s="18"/>
      <c r="M28" s="18"/>
      <c r="N28" s="18"/>
      <c r="O28" s="18"/>
      <c r="P28" s="17"/>
      <c r="Q28" s="18"/>
      <c r="R28" s="18"/>
    </row>
    <row r="29" customFormat="false" ht="15" hidden="false" customHeight="false" outlineLevel="0" collapsed="false">
      <c r="A29" s="18"/>
      <c r="B29" s="17"/>
      <c r="C29" s="18"/>
      <c r="D29" s="18"/>
      <c r="E29" s="18"/>
      <c r="F29" s="18"/>
      <c r="G29" s="22"/>
      <c r="H29" s="22"/>
      <c r="I29" s="21" t="str">
        <f aca="false">IF(N($G29)+N($H29)=0,"",N($G29)+N($H29))</f>
        <v/>
      </c>
      <c r="J29" s="18"/>
      <c r="K29" s="18"/>
      <c r="L29" s="18"/>
      <c r="M29" s="18"/>
      <c r="N29" s="18"/>
      <c r="O29" s="18"/>
      <c r="P29" s="17"/>
      <c r="Q29" s="18"/>
      <c r="R29" s="18"/>
    </row>
    <row r="30" customFormat="false" ht="15" hidden="false" customHeight="false" outlineLevel="0" collapsed="false">
      <c r="A30" s="18"/>
      <c r="B30" s="17"/>
      <c r="C30" s="18"/>
      <c r="D30" s="18"/>
      <c r="E30" s="18"/>
      <c r="F30" s="18"/>
      <c r="G30" s="22"/>
      <c r="H30" s="22"/>
      <c r="I30" s="21" t="str">
        <f aca="false">IF(N($G30)+N($H30)=0,"",N($G30)+N($H30))</f>
        <v/>
      </c>
      <c r="J30" s="18"/>
      <c r="K30" s="18"/>
      <c r="L30" s="18"/>
      <c r="M30" s="18"/>
      <c r="N30" s="18"/>
      <c r="O30" s="18"/>
      <c r="P30" s="17"/>
      <c r="Q30" s="18"/>
      <c r="R30" s="18"/>
    </row>
    <row r="31" customFormat="false" ht="15" hidden="false" customHeight="false" outlineLevel="0" collapsed="false">
      <c r="A31" s="18"/>
      <c r="B31" s="17"/>
      <c r="C31" s="18"/>
      <c r="D31" s="18"/>
      <c r="E31" s="18"/>
      <c r="F31" s="18"/>
      <c r="G31" s="22"/>
      <c r="H31" s="22"/>
      <c r="I31" s="21" t="str">
        <f aca="false">IF(N($G31)+N($H31)=0,"",N($G31)+N($H31))</f>
        <v/>
      </c>
      <c r="J31" s="18"/>
      <c r="K31" s="18"/>
      <c r="L31" s="18"/>
      <c r="M31" s="18"/>
      <c r="N31" s="18"/>
      <c r="O31" s="18"/>
      <c r="P31" s="17"/>
      <c r="Q31" s="18"/>
      <c r="R31" s="18"/>
    </row>
    <row r="32" customFormat="false" ht="15" hidden="false" customHeight="false" outlineLevel="0" collapsed="false">
      <c r="A32" s="18"/>
      <c r="B32" s="17"/>
      <c r="C32" s="18"/>
      <c r="D32" s="18"/>
      <c r="E32" s="18"/>
      <c r="F32" s="18"/>
      <c r="G32" s="22"/>
      <c r="H32" s="22"/>
      <c r="I32" s="21" t="str">
        <f aca="false">IF(N($G32)+N($H32)=0,"",N($G32)+N($H32))</f>
        <v/>
      </c>
      <c r="J32" s="18"/>
      <c r="K32" s="18"/>
      <c r="L32" s="18"/>
      <c r="M32" s="18"/>
      <c r="N32" s="18"/>
      <c r="O32" s="18"/>
      <c r="P32" s="17"/>
      <c r="Q32" s="18"/>
      <c r="R32" s="18"/>
    </row>
    <row r="33" customFormat="false" ht="15" hidden="false" customHeight="false" outlineLevel="0" collapsed="false">
      <c r="A33" s="18"/>
      <c r="B33" s="17"/>
      <c r="C33" s="18"/>
      <c r="D33" s="18"/>
      <c r="E33" s="18"/>
      <c r="F33" s="18"/>
      <c r="G33" s="22"/>
      <c r="H33" s="22"/>
      <c r="I33" s="21" t="str">
        <f aca="false">IF(N($G33)+N($H33)=0,"",N($G33)+N($H33))</f>
        <v/>
      </c>
      <c r="J33" s="18"/>
      <c r="K33" s="18"/>
      <c r="L33" s="18"/>
      <c r="M33" s="18"/>
      <c r="N33" s="18"/>
      <c r="O33" s="18"/>
      <c r="P33" s="17"/>
      <c r="Q33" s="18"/>
      <c r="R33" s="18"/>
    </row>
    <row r="34" customFormat="false" ht="15" hidden="false" customHeight="false" outlineLevel="0" collapsed="false">
      <c r="A34" s="18"/>
      <c r="B34" s="17"/>
      <c r="C34" s="18"/>
      <c r="D34" s="18"/>
      <c r="E34" s="18"/>
      <c r="F34" s="18"/>
      <c r="G34" s="22"/>
      <c r="H34" s="22"/>
      <c r="I34" s="21" t="str">
        <f aca="false">IF(N($G34)+N($H34)=0,"",N($G34)+N($H34))</f>
        <v/>
      </c>
      <c r="J34" s="18"/>
      <c r="K34" s="18"/>
      <c r="L34" s="18"/>
      <c r="M34" s="18"/>
      <c r="N34" s="18"/>
      <c r="O34" s="18"/>
      <c r="P34" s="17"/>
      <c r="Q34" s="18"/>
      <c r="R34" s="18"/>
    </row>
    <row r="35" customFormat="false" ht="15" hidden="false" customHeight="false" outlineLevel="0" collapsed="false">
      <c r="A35" s="18"/>
      <c r="B35" s="17"/>
      <c r="C35" s="18"/>
      <c r="D35" s="18"/>
      <c r="E35" s="18"/>
      <c r="F35" s="18"/>
      <c r="G35" s="22"/>
      <c r="H35" s="22"/>
      <c r="I35" s="21" t="str">
        <f aca="false">IF(N($G35)+N($H35)=0,"",N($G35)+N($H35))</f>
        <v/>
      </c>
      <c r="J35" s="18"/>
      <c r="K35" s="18"/>
      <c r="L35" s="18"/>
      <c r="M35" s="18"/>
      <c r="N35" s="18"/>
      <c r="O35" s="18"/>
      <c r="P35" s="17"/>
      <c r="Q35" s="18"/>
      <c r="R35" s="18"/>
    </row>
    <row r="36" customFormat="false" ht="15" hidden="false" customHeight="false" outlineLevel="0" collapsed="false">
      <c r="A36" s="18"/>
      <c r="B36" s="17"/>
      <c r="C36" s="18"/>
      <c r="D36" s="18"/>
      <c r="E36" s="18"/>
      <c r="F36" s="18"/>
      <c r="G36" s="22"/>
      <c r="H36" s="22"/>
      <c r="I36" s="21" t="str">
        <f aca="false">IF(N($G36)+N($H36)=0,"",N($G36)+N($H36))</f>
        <v/>
      </c>
      <c r="J36" s="18"/>
      <c r="K36" s="18"/>
      <c r="L36" s="18"/>
      <c r="M36" s="18"/>
      <c r="N36" s="18"/>
      <c r="O36" s="18"/>
      <c r="P36" s="17"/>
      <c r="Q36" s="18"/>
      <c r="R36" s="18"/>
    </row>
    <row r="37" customFormat="false" ht="15" hidden="false" customHeight="false" outlineLevel="0" collapsed="false">
      <c r="A37" s="18"/>
      <c r="B37" s="17"/>
      <c r="C37" s="18"/>
      <c r="D37" s="18"/>
      <c r="E37" s="18"/>
      <c r="F37" s="18"/>
      <c r="G37" s="22"/>
      <c r="H37" s="22"/>
      <c r="I37" s="21" t="str">
        <f aca="false">IF(N($G37)+N($H37)=0,"",N($G37)+N($H37))</f>
        <v/>
      </c>
      <c r="J37" s="18"/>
      <c r="K37" s="18"/>
      <c r="L37" s="18"/>
      <c r="M37" s="18"/>
      <c r="N37" s="18"/>
      <c r="O37" s="18"/>
      <c r="P37" s="17"/>
      <c r="Q37" s="18"/>
      <c r="R37" s="18"/>
    </row>
    <row r="38" customFormat="false" ht="15" hidden="false" customHeight="false" outlineLevel="0" collapsed="false">
      <c r="A38" s="18"/>
      <c r="B38" s="17"/>
      <c r="C38" s="18"/>
      <c r="D38" s="18"/>
      <c r="E38" s="18"/>
      <c r="F38" s="18"/>
      <c r="G38" s="22"/>
      <c r="H38" s="22"/>
      <c r="I38" s="21" t="str">
        <f aca="false">IF(N($G38)+N($H38)=0,"",N($G38)+N($H38))</f>
        <v/>
      </c>
      <c r="J38" s="18"/>
      <c r="K38" s="18"/>
      <c r="L38" s="18"/>
      <c r="M38" s="18"/>
      <c r="N38" s="18"/>
      <c r="O38" s="18"/>
      <c r="P38" s="17"/>
      <c r="Q38" s="18"/>
      <c r="R38" s="18"/>
    </row>
    <row r="39" customFormat="false" ht="15" hidden="false" customHeight="false" outlineLevel="0" collapsed="false">
      <c r="A39" s="18"/>
      <c r="B39" s="17"/>
      <c r="C39" s="18"/>
      <c r="D39" s="18"/>
      <c r="E39" s="18"/>
      <c r="F39" s="18"/>
      <c r="G39" s="22"/>
      <c r="H39" s="22"/>
      <c r="I39" s="21" t="str">
        <f aca="false">IF(N($G39)+N($H39)=0,"",N($G39)+N($H39))</f>
        <v/>
      </c>
      <c r="J39" s="18"/>
      <c r="K39" s="18"/>
      <c r="L39" s="18"/>
      <c r="M39" s="18"/>
      <c r="N39" s="18"/>
      <c r="O39" s="18"/>
      <c r="P39" s="17"/>
      <c r="Q39" s="18"/>
      <c r="R39" s="18"/>
    </row>
    <row r="40" customFormat="false" ht="15" hidden="false" customHeight="false" outlineLevel="0" collapsed="false">
      <c r="A40" s="18"/>
      <c r="B40" s="17"/>
      <c r="C40" s="18"/>
      <c r="D40" s="18"/>
      <c r="E40" s="18"/>
      <c r="F40" s="18"/>
      <c r="G40" s="22"/>
      <c r="H40" s="22"/>
      <c r="I40" s="21" t="str">
        <f aca="false">IF(N($G40)+N($H40)=0,"",N($G40)+N($H40))</f>
        <v/>
      </c>
      <c r="J40" s="18"/>
      <c r="K40" s="18"/>
      <c r="L40" s="18"/>
      <c r="M40" s="18"/>
      <c r="N40" s="18"/>
      <c r="O40" s="18"/>
      <c r="P40" s="17"/>
      <c r="Q40" s="18"/>
      <c r="R40" s="18"/>
    </row>
    <row r="41" customFormat="false" ht="15" hidden="false" customHeight="false" outlineLevel="0" collapsed="false">
      <c r="A41" s="18"/>
      <c r="B41" s="17"/>
      <c r="C41" s="18"/>
      <c r="D41" s="18"/>
      <c r="E41" s="18"/>
      <c r="F41" s="18"/>
      <c r="G41" s="22"/>
      <c r="H41" s="22"/>
      <c r="I41" s="21" t="str">
        <f aca="false">IF(N($G41)+N($H41)=0,"",N($G41)+N($H41))</f>
        <v/>
      </c>
      <c r="J41" s="18"/>
      <c r="K41" s="18"/>
      <c r="L41" s="18"/>
      <c r="M41" s="18"/>
      <c r="N41" s="18"/>
      <c r="O41" s="18"/>
      <c r="P41" s="17"/>
      <c r="Q41" s="18"/>
      <c r="R41" s="18"/>
    </row>
    <row r="42" customFormat="false" ht="15" hidden="false" customHeight="false" outlineLevel="0" collapsed="false">
      <c r="A42" s="18"/>
      <c r="B42" s="17"/>
      <c r="C42" s="18"/>
      <c r="D42" s="18"/>
      <c r="E42" s="18"/>
      <c r="F42" s="18"/>
      <c r="G42" s="22"/>
      <c r="H42" s="22"/>
      <c r="I42" s="21" t="str">
        <f aca="false">IF(N($G42)+N($H42)=0,"",N($G42)+N($H42))</f>
        <v/>
      </c>
      <c r="J42" s="18"/>
      <c r="K42" s="18"/>
      <c r="L42" s="18"/>
      <c r="M42" s="18"/>
      <c r="N42" s="18"/>
      <c r="O42" s="18"/>
      <c r="P42" s="17"/>
      <c r="Q42" s="18"/>
      <c r="R42" s="18"/>
    </row>
    <row r="43" customFormat="false" ht="15" hidden="false" customHeight="false" outlineLevel="0" collapsed="false">
      <c r="A43" s="18"/>
      <c r="B43" s="17"/>
      <c r="C43" s="18"/>
      <c r="D43" s="18"/>
      <c r="E43" s="18"/>
      <c r="F43" s="18"/>
      <c r="G43" s="22"/>
      <c r="H43" s="22"/>
      <c r="I43" s="21" t="str">
        <f aca="false">IF(N($G43)+N($H43)=0,"",N($G43)+N($H43))</f>
        <v/>
      </c>
      <c r="J43" s="18"/>
      <c r="K43" s="18"/>
      <c r="L43" s="18"/>
      <c r="M43" s="18"/>
      <c r="N43" s="18"/>
      <c r="O43" s="18"/>
      <c r="P43" s="17"/>
      <c r="Q43" s="18"/>
      <c r="R43" s="18"/>
    </row>
    <row r="44" customFormat="false" ht="15" hidden="false" customHeight="false" outlineLevel="0" collapsed="false">
      <c r="A44" s="18"/>
      <c r="B44" s="17"/>
      <c r="C44" s="18"/>
      <c r="D44" s="18"/>
      <c r="E44" s="18"/>
      <c r="F44" s="18"/>
      <c r="G44" s="22"/>
      <c r="H44" s="22"/>
      <c r="I44" s="21" t="str">
        <f aca="false">IF(N($G44)+N($H44)=0,"",N($G44)+N($H44))</f>
        <v/>
      </c>
      <c r="J44" s="18"/>
      <c r="K44" s="18"/>
      <c r="L44" s="18"/>
      <c r="M44" s="18"/>
      <c r="N44" s="18"/>
      <c r="O44" s="18"/>
      <c r="P44" s="17"/>
      <c r="Q44" s="18"/>
      <c r="R44" s="18"/>
    </row>
    <row r="45" customFormat="false" ht="15" hidden="false" customHeight="false" outlineLevel="0" collapsed="false">
      <c r="A45" s="18"/>
      <c r="B45" s="17"/>
      <c r="C45" s="18"/>
      <c r="D45" s="18"/>
      <c r="E45" s="18"/>
      <c r="F45" s="18"/>
      <c r="G45" s="22"/>
      <c r="H45" s="22"/>
      <c r="I45" s="21" t="str">
        <f aca="false">IF(N($G45)+N($H45)=0,"",N($G45)+N($H45))</f>
        <v/>
      </c>
      <c r="J45" s="18"/>
      <c r="K45" s="18"/>
      <c r="L45" s="18"/>
      <c r="M45" s="18"/>
      <c r="N45" s="18"/>
      <c r="O45" s="18"/>
      <c r="P45" s="17"/>
      <c r="Q45" s="18"/>
      <c r="R45" s="18"/>
    </row>
    <row r="46" customFormat="false" ht="15" hidden="false" customHeight="false" outlineLevel="0" collapsed="false">
      <c r="A46" s="18"/>
      <c r="B46" s="17"/>
      <c r="C46" s="18"/>
      <c r="D46" s="18"/>
      <c r="E46" s="18"/>
      <c r="F46" s="18"/>
      <c r="G46" s="22"/>
      <c r="H46" s="22"/>
      <c r="I46" s="21" t="str">
        <f aca="false">IF(N($G46)+N($H46)=0,"",N($G46)+N($H46))</f>
        <v/>
      </c>
      <c r="J46" s="18"/>
      <c r="K46" s="18"/>
      <c r="L46" s="18"/>
      <c r="M46" s="18"/>
      <c r="N46" s="18"/>
      <c r="O46" s="18"/>
      <c r="P46" s="17"/>
      <c r="Q46" s="18"/>
      <c r="R46" s="18"/>
    </row>
    <row r="47" customFormat="false" ht="15" hidden="false" customHeight="false" outlineLevel="0" collapsed="false">
      <c r="A47" s="18"/>
      <c r="B47" s="17"/>
      <c r="C47" s="18"/>
      <c r="D47" s="18"/>
      <c r="E47" s="18"/>
      <c r="F47" s="18"/>
      <c r="G47" s="22"/>
      <c r="H47" s="22"/>
      <c r="I47" s="21" t="str">
        <f aca="false">IF(N($G47)+N($H47)=0,"",N($G47)+N($H47))</f>
        <v/>
      </c>
      <c r="J47" s="18"/>
      <c r="K47" s="18"/>
      <c r="L47" s="18"/>
      <c r="M47" s="18"/>
      <c r="N47" s="18"/>
      <c r="O47" s="18"/>
      <c r="P47" s="17"/>
      <c r="Q47" s="18"/>
      <c r="R47" s="18"/>
    </row>
    <row r="48" customFormat="false" ht="15" hidden="false" customHeight="false" outlineLevel="0" collapsed="false">
      <c r="A48" s="18"/>
      <c r="B48" s="17"/>
      <c r="C48" s="18"/>
      <c r="D48" s="18"/>
      <c r="E48" s="18"/>
      <c r="F48" s="18"/>
      <c r="G48" s="22"/>
      <c r="H48" s="22"/>
      <c r="I48" s="21" t="str">
        <f aca="false">IF(N($G48)+N($H48)=0,"",N($G48)+N($H48))</f>
        <v/>
      </c>
      <c r="J48" s="18"/>
      <c r="K48" s="18"/>
      <c r="L48" s="18"/>
      <c r="M48" s="18"/>
      <c r="N48" s="18"/>
      <c r="O48" s="18"/>
      <c r="P48" s="17"/>
      <c r="Q48" s="18"/>
      <c r="R48" s="18"/>
    </row>
    <row r="49" customFormat="false" ht="15" hidden="false" customHeight="false" outlineLevel="0" collapsed="false">
      <c r="A49" s="18"/>
      <c r="B49" s="17"/>
      <c r="C49" s="18"/>
      <c r="D49" s="18"/>
      <c r="E49" s="18"/>
      <c r="F49" s="18"/>
      <c r="G49" s="22"/>
      <c r="H49" s="22"/>
      <c r="I49" s="21" t="str">
        <f aca="false">IF(N($G49)+N($H49)=0,"",N($G49)+N($H49))</f>
        <v/>
      </c>
      <c r="J49" s="18"/>
      <c r="K49" s="18"/>
      <c r="L49" s="18"/>
      <c r="M49" s="18"/>
      <c r="N49" s="18"/>
      <c r="O49" s="18"/>
      <c r="P49" s="17"/>
      <c r="Q49" s="18"/>
      <c r="R49" s="18"/>
    </row>
    <row r="50" customFormat="false" ht="15" hidden="false" customHeight="false" outlineLevel="0" collapsed="false">
      <c r="A50" s="18"/>
      <c r="B50" s="17"/>
      <c r="C50" s="18"/>
      <c r="D50" s="18"/>
      <c r="E50" s="18"/>
      <c r="F50" s="18"/>
      <c r="G50" s="22"/>
      <c r="H50" s="22"/>
      <c r="I50" s="21" t="str">
        <f aca="false">IF(N($G50)+N($H50)=0,"",N($G50)+N($H50))</f>
        <v/>
      </c>
      <c r="J50" s="18"/>
      <c r="K50" s="18"/>
      <c r="L50" s="18"/>
      <c r="M50" s="18"/>
      <c r="N50" s="18"/>
      <c r="O50" s="18"/>
      <c r="P50" s="17"/>
      <c r="Q50" s="18"/>
      <c r="R50" s="18"/>
    </row>
    <row r="51" customFormat="false" ht="15" hidden="false" customHeight="false" outlineLevel="0" collapsed="false">
      <c r="A51" s="18"/>
      <c r="B51" s="17"/>
      <c r="C51" s="18"/>
      <c r="D51" s="18"/>
      <c r="E51" s="18"/>
      <c r="F51" s="18"/>
      <c r="G51" s="22"/>
      <c r="H51" s="22"/>
      <c r="I51" s="21" t="str">
        <f aca="false">IF(N($G51)+N($H51)=0,"",N($G51)+N($H51))</f>
        <v/>
      </c>
      <c r="J51" s="18"/>
      <c r="K51" s="18"/>
      <c r="L51" s="18"/>
      <c r="M51" s="18"/>
      <c r="N51" s="18"/>
      <c r="O51" s="18"/>
      <c r="P51" s="17"/>
      <c r="Q51" s="18"/>
      <c r="R51" s="18"/>
    </row>
    <row r="52" customFormat="false" ht="15" hidden="false" customHeight="false" outlineLevel="0" collapsed="false">
      <c r="A52" s="18"/>
      <c r="B52" s="17"/>
      <c r="C52" s="18"/>
      <c r="D52" s="18"/>
      <c r="E52" s="18"/>
      <c r="F52" s="18"/>
      <c r="G52" s="22"/>
      <c r="H52" s="22"/>
      <c r="I52" s="21" t="str">
        <f aca="false">IF(N($G52)+N($H52)=0,"",N($G52)+N($H52))</f>
        <v/>
      </c>
      <c r="J52" s="18"/>
      <c r="K52" s="18"/>
      <c r="L52" s="18"/>
      <c r="M52" s="18"/>
      <c r="N52" s="18"/>
      <c r="O52" s="18"/>
      <c r="P52" s="17"/>
      <c r="Q52" s="18"/>
      <c r="R52" s="18"/>
    </row>
    <row r="53" customFormat="false" ht="15" hidden="false" customHeight="false" outlineLevel="0" collapsed="false">
      <c r="A53" s="18"/>
      <c r="B53" s="17"/>
      <c r="C53" s="18"/>
      <c r="D53" s="18"/>
      <c r="E53" s="18"/>
      <c r="F53" s="18"/>
      <c r="G53" s="22"/>
      <c r="H53" s="22"/>
      <c r="I53" s="21" t="str">
        <f aca="false">IF(N($G53)+N($H53)=0,"",N($G53)+N($H53))</f>
        <v/>
      </c>
      <c r="J53" s="18"/>
      <c r="K53" s="18"/>
      <c r="L53" s="18"/>
      <c r="M53" s="18"/>
      <c r="N53" s="18"/>
      <c r="O53" s="18"/>
      <c r="P53" s="17"/>
      <c r="Q53" s="18"/>
      <c r="R53" s="18"/>
    </row>
    <row r="54" customFormat="false" ht="15" hidden="false" customHeight="false" outlineLevel="0" collapsed="false">
      <c r="A54" s="18"/>
      <c r="B54" s="17"/>
      <c r="C54" s="18"/>
      <c r="D54" s="18"/>
      <c r="E54" s="18"/>
      <c r="F54" s="18"/>
      <c r="G54" s="22"/>
      <c r="H54" s="22"/>
      <c r="I54" s="21" t="str">
        <f aca="false">IF(N($G54)+N($H54)=0,"",N($G54)+N($H54))</f>
        <v/>
      </c>
      <c r="J54" s="18"/>
      <c r="K54" s="18"/>
      <c r="L54" s="18"/>
      <c r="M54" s="18"/>
      <c r="N54" s="18"/>
      <c r="O54" s="18"/>
      <c r="P54" s="17"/>
      <c r="Q54" s="18"/>
      <c r="R54" s="18"/>
    </row>
    <row r="55" customFormat="false" ht="15" hidden="false" customHeight="false" outlineLevel="0" collapsed="false">
      <c r="A55" s="18"/>
      <c r="B55" s="17"/>
      <c r="C55" s="18"/>
      <c r="D55" s="18"/>
      <c r="E55" s="18"/>
      <c r="F55" s="18"/>
      <c r="G55" s="22"/>
      <c r="H55" s="22"/>
      <c r="I55" s="21" t="str">
        <f aca="false">IF(N($G55)+N($H55)=0,"",N($G55)+N($H55))</f>
        <v/>
      </c>
      <c r="J55" s="18"/>
      <c r="K55" s="18"/>
      <c r="L55" s="18"/>
      <c r="M55" s="18"/>
      <c r="N55" s="18"/>
      <c r="O55" s="18"/>
      <c r="P55" s="17"/>
      <c r="Q55" s="18"/>
      <c r="R55" s="18"/>
    </row>
    <row r="56" customFormat="false" ht="15" hidden="false" customHeight="false" outlineLevel="0" collapsed="false">
      <c r="A56" s="18"/>
      <c r="B56" s="17"/>
      <c r="C56" s="18"/>
      <c r="D56" s="18"/>
      <c r="E56" s="18"/>
      <c r="F56" s="18"/>
      <c r="G56" s="22"/>
      <c r="H56" s="22"/>
      <c r="I56" s="21" t="str">
        <f aca="false">IF(N($G56)+N($H56)=0,"",N($G56)+N($H56))</f>
        <v/>
      </c>
      <c r="J56" s="18"/>
      <c r="K56" s="18"/>
      <c r="L56" s="18"/>
      <c r="M56" s="18"/>
      <c r="N56" s="18"/>
      <c r="O56" s="18"/>
      <c r="P56" s="17"/>
      <c r="Q56" s="18"/>
      <c r="R56" s="18"/>
    </row>
    <row r="57" customFormat="false" ht="15" hidden="false" customHeight="false" outlineLevel="0" collapsed="false">
      <c r="A57" s="18"/>
      <c r="B57" s="17"/>
      <c r="C57" s="18"/>
      <c r="D57" s="18"/>
      <c r="E57" s="18"/>
      <c r="F57" s="18"/>
      <c r="G57" s="22"/>
      <c r="H57" s="22"/>
      <c r="I57" s="21" t="str">
        <f aca="false">IF(N($G57)+N($H57)=0,"",N($G57)+N($H57))</f>
        <v/>
      </c>
      <c r="J57" s="18"/>
      <c r="K57" s="18"/>
      <c r="L57" s="18"/>
      <c r="M57" s="18"/>
      <c r="N57" s="18"/>
      <c r="O57" s="18"/>
      <c r="P57" s="17"/>
      <c r="Q57" s="18"/>
      <c r="R57" s="18"/>
    </row>
    <row r="58" customFormat="false" ht="15" hidden="false" customHeight="false" outlineLevel="0" collapsed="false">
      <c r="A58" s="18"/>
      <c r="B58" s="17"/>
      <c r="C58" s="18"/>
      <c r="D58" s="18"/>
      <c r="E58" s="18"/>
      <c r="F58" s="18"/>
      <c r="G58" s="22"/>
      <c r="H58" s="22"/>
      <c r="I58" s="21" t="str">
        <f aca="false">IF(N($G58)+N($H58)=0,"",N($G58)+N($H58))</f>
        <v/>
      </c>
      <c r="J58" s="18"/>
      <c r="K58" s="18"/>
      <c r="L58" s="18"/>
      <c r="M58" s="18"/>
      <c r="N58" s="18"/>
      <c r="O58" s="18"/>
      <c r="P58" s="17"/>
      <c r="Q58" s="18"/>
      <c r="R58" s="18"/>
    </row>
    <row r="59" customFormat="false" ht="15" hidden="false" customHeight="false" outlineLevel="0" collapsed="false">
      <c r="A59" s="18"/>
      <c r="B59" s="17"/>
      <c r="C59" s="18"/>
      <c r="D59" s="18"/>
      <c r="E59" s="18"/>
      <c r="F59" s="18"/>
      <c r="G59" s="22"/>
      <c r="H59" s="22"/>
      <c r="I59" s="21" t="str">
        <f aca="false">IF(N($G59)+N($H59)=0,"",N($G59)+N($H59))</f>
        <v/>
      </c>
      <c r="J59" s="18"/>
      <c r="K59" s="18"/>
      <c r="L59" s="18"/>
      <c r="M59" s="18"/>
      <c r="N59" s="18"/>
      <c r="O59" s="18"/>
      <c r="P59" s="17"/>
      <c r="Q59" s="18"/>
      <c r="R59" s="18"/>
    </row>
    <row r="60" customFormat="false" ht="15" hidden="false" customHeight="false" outlineLevel="0" collapsed="false">
      <c r="A60" s="18"/>
      <c r="B60" s="17"/>
      <c r="C60" s="18"/>
      <c r="D60" s="18"/>
      <c r="E60" s="18"/>
      <c r="F60" s="18"/>
      <c r="G60" s="22"/>
      <c r="H60" s="22"/>
      <c r="I60" s="21" t="str">
        <f aca="false">IF(N($G60)+N($H60)=0,"",N($G60)+N($H60))</f>
        <v/>
      </c>
      <c r="J60" s="18"/>
      <c r="K60" s="18"/>
      <c r="L60" s="18"/>
      <c r="M60" s="18"/>
      <c r="N60" s="18"/>
      <c r="O60" s="18"/>
      <c r="P60" s="17"/>
      <c r="Q60" s="18"/>
      <c r="R60" s="18"/>
    </row>
    <row r="61" customFormat="false" ht="15" hidden="false" customHeight="false" outlineLevel="0" collapsed="false">
      <c r="A61" s="18"/>
      <c r="B61" s="17"/>
      <c r="C61" s="18"/>
      <c r="D61" s="18"/>
      <c r="E61" s="18"/>
      <c r="F61" s="18"/>
      <c r="G61" s="22"/>
      <c r="H61" s="22"/>
      <c r="I61" s="21" t="str">
        <f aca="false">IF(N($G61)+N($H61)=0,"",N($G61)+N($H61))</f>
        <v/>
      </c>
      <c r="J61" s="18"/>
      <c r="K61" s="18"/>
      <c r="L61" s="18"/>
      <c r="M61" s="18"/>
      <c r="N61" s="18"/>
      <c r="O61" s="18"/>
      <c r="P61" s="17"/>
      <c r="Q61" s="18"/>
      <c r="R61" s="18"/>
    </row>
    <row r="62" customFormat="false" ht="15" hidden="false" customHeight="false" outlineLevel="0" collapsed="false">
      <c r="A62" s="18"/>
      <c r="B62" s="17"/>
      <c r="C62" s="18"/>
      <c r="D62" s="18"/>
      <c r="E62" s="18"/>
      <c r="F62" s="18"/>
      <c r="G62" s="22"/>
      <c r="H62" s="22"/>
      <c r="I62" s="21" t="str">
        <f aca="false">IF(N($G62)+N($H62)=0,"",N($G62)+N($H62))</f>
        <v/>
      </c>
      <c r="J62" s="18"/>
      <c r="K62" s="18"/>
      <c r="L62" s="18"/>
      <c r="M62" s="18"/>
      <c r="N62" s="18"/>
      <c r="O62" s="18"/>
      <c r="P62" s="17"/>
      <c r="Q62" s="18"/>
      <c r="R62" s="18"/>
    </row>
    <row r="63" customFormat="false" ht="15" hidden="false" customHeight="false" outlineLevel="0" collapsed="false">
      <c r="A63" s="18"/>
      <c r="B63" s="17"/>
      <c r="C63" s="18"/>
      <c r="D63" s="18"/>
      <c r="E63" s="18"/>
      <c r="F63" s="18"/>
      <c r="G63" s="22"/>
      <c r="H63" s="22"/>
      <c r="I63" s="21" t="str">
        <f aca="false">IF(N($G63)+N($H63)=0,"",N($G63)+N($H63))</f>
        <v/>
      </c>
      <c r="J63" s="18"/>
      <c r="K63" s="18"/>
      <c r="L63" s="18"/>
      <c r="M63" s="18"/>
      <c r="N63" s="18"/>
      <c r="O63" s="18"/>
      <c r="P63" s="17"/>
      <c r="Q63" s="18"/>
      <c r="R63" s="18"/>
    </row>
    <row r="64" customFormat="false" ht="15" hidden="false" customHeight="false" outlineLevel="0" collapsed="false">
      <c r="A64" s="18"/>
      <c r="B64" s="17"/>
      <c r="C64" s="18"/>
      <c r="D64" s="18"/>
      <c r="E64" s="18"/>
      <c r="F64" s="18"/>
      <c r="G64" s="22"/>
      <c r="H64" s="22"/>
      <c r="I64" s="21" t="str">
        <f aca="false">IF(N($G64)+N($H64)=0,"",N($G64)+N($H64))</f>
        <v/>
      </c>
      <c r="J64" s="18"/>
      <c r="K64" s="18"/>
      <c r="L64" s="18"/>
      <c r="M64" s="18"/>
      <c r="N64" s="18"/>
      <c r="O64" s="18"/>
      <c r="P64" s="17"/>
      <c r="Q64" s="18"/>
      <c r="R64" s="18"/>
    </row>
    <row r="65" customFormat="false" ht="15" hidden="false" customHeight="false" outlineLevel="0" collapsed="false">
      <c r="A65" s="18"/>
      <c r="B65" s="17"/>
      <c r="C65" s="18"/>
      <c r="D65" s="18"/>
      <c r="E65" s="18"/>
      <c r="F65" s="18"/>
      <c r="G65" s="22"/>
      <c r="H65" s="22"/>
      <c r="I65" s="21" t="str">
        <f aca="false">IF(N($G65)+N($H65)=0,"",N($G65)+N($H65))</f>
        <v/>
      </c>
      <c r="J65" s="18"/>
      <c r="K65" s="18"/>
      <c r="L65" s="18"/>
      <c r="M65" s="18"/>
      <c r="N65" s="18"/>
      <c r="O65" s="18"/>
      <c r="P65" s="17"/>
      <c r="Q65" s="18"/>
      <c r="R65" s="18"/>
    </row>
    <row r="66" customFormat="false" ht="15" hidden="false" customHeight="false" outlineLevel="0" collapsed="false">
      <c r="A66" s="18"/>
      <c r="B66" s="17"/>
      <c r="C66" s="18"/>
      <c r="D66" s="18"/>
      <c r="E66" s="18"/>
      <c r="F66" s="18"/>
      <c r="G66" s="22"/>
      <c r="H66" s="22"/>
      <c r="I66" s="21" t="str">
        <f aca="false">IF(N($G66)+N($H66)=0,"",N($G66)+N($H66))</f>
        <v/>
      </c>
      <c r="J66" s="18"/>
      <c r="K66" s="18"/>
      <c r="L66" s="18"/>
      <c r="M66" s="18"/>
      <c r="N66" s="18"/>
      <c r="O66" s="18"/>
      <c r="P66" s="17"/>
      <c r="Q66" s="18"/>
      <c r="R66" s="18"/>
    </row>
    <row r="67" customFormat="false" ht="15" hidden="false" customHeight="false" outlineLevel="0" collapsed="false">
      <c r="A67" s="18"/>
      <c r="B67" s="17"/>
      <c r="C67" s="18"/>
      <c r="D67" s="18"/>
      <c r="E67" s="18"/>
      <c r="F67" s="18"/>
      <c r="G67" s="22"/>
      <c r="H67" s="22"/>
      <c r="I67" s="21" t="str">
        <f aca="false">IF(N($G67)+N($H67)=0,"",N($G67)+N($H67))</f>
        <v/>
      </c>
      <c r="J67" s="18"/>
      <c r="K67" s="18"/>
      <c r="L67" s="18"/>
      <c r="M67" s="18"/>
      <c r="N67" s="18"/>
      <c r="O67" s="18"/>
      <c r="P67" s="17"/>
      <c r="Q67" s="18"/>
      <c r="R67" s="18"/>
    </row>
    <row r="68" customFormat="false" ht="15" hidden="false" customHeight="false" outlineLevel="0" collapsed="false">
      <c r="A68" s="18"/>
      <c r="B68" s="17"/>
      <c r="C68" s="18"/>
      <c r="D68" s="18"/>
      <c r="E68" s="18"/>
      <c r="F68" s="18"/>
      <c r="G68" s="22"/>
      <c r="H68" s="22"/>
      <c r="I68" s="21" t="str">
        <f aca="false">IF(N($G68)+N($H68)=0,"",N($G68)+N($H68))</f>
        <v/>
      </c>
      <c r="J68" s="18"/>
      <c r="K68" s="18"/>
      <c r="L68" s="18"/>
      <c r="M68" s="18"/>
      <c r="N68" s="18"/>
      <c r="O68" s="18"/>
      <c r="P68" s="17"/>
      <c r="Q68" s="18"/>
      <c r="R68" s="18"/>
    </row>
    <row r="69" customFormat="false" ht="15" hidden="false" customHeight="false" outlineLevel="0" collapsed="false">
      <c r="A69" s="18"/>
      <c r="B69" s="17"/>
      <c r="C69" s="18"/>
      <c r="D69" s="18"/>
      <c r="E69" s="18"/>
      <c r="F69" s="18"/>
      <c r="G69" s="22"/>
      <c r="H69" s="22"/>
      <c r="I69" s="21" t="str">
        <f aca="false">IF(N($G69)+N($H69)=0,"",N($G69)+N($H69))</f>
        <v/>
      </c>
      <c r="J69" s="18"/>
      <c r="K69" s="18"/>
      <c r="L69" s="18"/>
      <c r="M69" s="18"/>
      <c r="N69" s="18"/>
      <c r="O69" s="18"/>
      <c r="P69" s="17"/>
      <c r="Q69" s="18"/>
      <c r="R69" s="18"/>
    </row>
    <row r="70" customFormat="false" ht="15" hidden="false" customHeight="false" outlineLevel="0" collapsed="false">
      <c r="A70" s="18"/>
      <c r="B70" s="17"/>
      <c r="C70" s="18"/>
      <c r="D70" s="18"/>
      <c r="E70" s="18"/>
      <c r="F70" s="18"/>
      <c r="G70" s="22"/>
      <c r="H70" s="22"/>
      <c r="I70" s="21" t="str">
        <f aca="false">IF(N($G70)+N($H70)=0,"",N($G70)+N($H70))</f>
        <v/>
      </c>
      <c r="J70" s="18"/>
      <c r="K70" s="18"/>
      <c r="L70" s="18"/>
      <c r="M70" s="18"/>
      <c r="N70" s="18"/>
      <c r="O70" s="18"/>
      <c r="P70" s="17"/>
      <c r="Q70" s="18"/>
      <c r="R70" s="18"/>
    </row>
    <row r="71" customFormat="false" ht="15" hidden="false" customHeight="false" outlineLevel="0" collapsed="false">
      <c r="A71" s="18"/>
      <c r="B71" s="17"/>
      <c r="C71" s="18"/>
      <c r="D71" s="18"/>
      <c r="E71" s="18"/>
      <c r="F71" s="18"/>
      <c r="G71" s="22"/>
      <c r="H71" s="22"/>
      <c r="I71" s="21" t="str">
        <f aca="false">IF(N($G71)+N($H71)=0,"",N($G71)+N($H71))</f>
        <v/>
      </c>
      <c r="J71" s="18"/>
      <c r="K71" s="18"/>
      <c r="L71" s="18"/>
      <c r="M71" s="18"/>
      <c r="N71" s="18"/>
      <c r="O71" s="18"/>
      <c r="P71" s="17"/>
      <c r="Q71" s="18"/>
      <c r="R71" s="18"/>
    </row>
    <row r="72" customFormat="false" ht="15" hidden="false" customHeight="false" outlineLevel="0" collapsed="false">
      <c r="A72" s="18"/>
      <c r="B72" s="17"/>
      <c r="C72" s="18"/>
      <c r="D72" s="18"/>
      <c r="E72" s="18"/>
      <c r="F72" s="18"/>
      <c r="G72" s="22"/>
      <c r="H72" s="22"/>
      <c r="I72" s="21" t="str">
        <f aca="false">IF(N($G72)+N($H72)=0,"",N($G72)+N($H72))</f>
        <v/>
      </c>
      <c r="J72" s="18"/>
      <c r="K72" s="18"/>
      <c r="L72" s="18"/>
      <c r="M72" s="18"/>
      <c r="N72" s="18"/>
      <c r="O72" s="18"/>
      <c r="P72" s="17"/>
      <c r="Q72" s="18"/>
      <c r="R72" s="18"/>
    </row>
    <row r="73" customFormat="false" ht="15" hidden="false" customHeight="false" outlineLevel="0" collapsed="false">
      <c r="A73" s="18"/>
      <c r="B73" s="17"/>
      <c r="C73" s="18"/>
      <c r="D73" s="18"/>
      <c r="E73" s="18"/>
      <c r="F73" s="18"/>
      <c r="G73" s="22"/>
      <c r="H73" s="22"/>
      <c r="I73" s="21" t="str">
        <f aca="false">IF(N($G73)+N($H73)=0,"",N($G73)+N($H73))</f>
        <v/>
      </c>
      <c r="J73" s="18"/>
      <c r="K73" s="18"/>
      <c r="L73" s="18"/>
      <c r="M73" s="18"/>
      <c r="N73" s="18"/>
      <c r="O73" s="18"/>
      <c r="P73" s="17"/>
      <c r="Q73" s="18"/>
      <c r="R73" s="18"/>
    </row>
    <row r="74" customFormat="false" ht="15" hidden="false" customHeight="false" outlineLevel="0" collapsed="false">
      <c r="A74" s="18"/>
      <c r="B74" s="17"/>
      <c r="C74" s="18"/>
      <c r="D74" s="18"/>
      <c r="E74" s="18"/>
      <c r="F74" s="18"/>
      <c r="G74" s="22"/>
      <c r="H74" s="22"/>
      <c r="I74" s="21" t="str">
        <f aca="false">IF(N($G74)+N($H74)=0,"",N($G74)+N($H74))</f>
        <v/>
      </c>
      <c r="J74" s="18"/>
      <c r="K74" s="18"/>
      <c r="L74" s="18"/>
      <c r="M74" s="18"/>
      <c r="N74" s="18"/>
      <c r="O74" s="18"/>
      <c r="P74" s="17"/>
      <c r="Q74" s="18"/>
      <c r="R74" s="18"/>
    </row>
    <row r="75" customFormat="false" ht="15" hidden="false" customHeight="false" outlineLevel="0" collapsed="false">
      <c r="A75" s="18"/>
      <c r="B75" s="17"/>
      <c r="C75" s="18"/>
      <c r="D75" s="18"/>
      <c r="E75" s="18"/>
      <c r="F75" s="18"/>
      <c r="G75" s="22"/>
      <c r="H75" s="22"/>
      <c r="I75" s="21" t="str">
        <f aca="false">IF(N($G75)+N($H75)=0,"",N($G75)+N($H75))</f>
        <v/>
      </c>
      <c r="J75" s="18"/>
      <c r="K75" s="18"/>
      <c r="L75" s="18"/>
      <c r="M75" s="18"/>
      <c r="N75" s="18"/>
      <c r="O75" s="18"/>
      <c r="P75" s="17"/>
      <c r="Q75" s="18"/>
      <c r="R75" s="18"/>
    </row>
    <row r="76" customFormat="false" ht="15" hidden="false" customHeight="false" outlineLevel="0" collapsed="false">
      <c r="A76" s="18"/>
      <c r="B76" s="17"/>
      <c r="C76" s="18"/>
      <c r="D76" s="18"/>
      <c r="E76" s="18"/>
      <c r="F76" s="18"/>
      <c r="G76" s="22"/>
      <c r="H76" s="22"/>
      <c r="I76" s="21" t="str">
        <f aca="false">IF(N($G76)+N($H76)=0,"",N($G76)+N($H76))</f>
        <v/>
      </c>
      <c r="J76" s="18"/>
      <c r="K76" s="18"/>
      <c r="L76" s="18"/>
      <c r="M76" s="18"/>
      <c r="N76" s="18"/>
      <c r="O76" s="18"/>
      <c r="P76" s="17"/>
      <c r="Q76" s="18"/>
      <c r="R76" s="18"/>
    </row>
    <row r="77" customFormat="false" ht="15" hidden="false" customHeight="false" outlineLevel="0" collapsed="false">
      <c r="A77" s="18"/>
      <c r="B77" s="17"/>
      <c r="C77" s="18"/>
      <c r="D77" s="18"/>
      <c r="E77" s="18"/>
      <c r="F77" s="18"/>
      <c r="G77" s="22"/>
      <c r="H77" s="22"/>
      <c r="I77" s="21" t="str">
        <f aca="false">IF(N($G77)+N($H77)=0,"",N($G77)+N($H77))</f>
        <v/>
      </c>
      <c r="J77" s="18"/>
      <c r="K77" s="18"/>
      <c r="L77" s="18"/>
      <c r="M77" s="18"/>
      <c r="N77" s="18"/>
      <c r="O77" s="18"/>
      <c r="P77" s="17"/>
      <c r="Q77" s="18"/>
      <c r="R77" s="18"/>
    </row>
    <row r="78" customFormat="false" ht="15" hidden="false" customHeight="false" outlineLevel="0" collapsed="false">
      <c r="A78" s="18"/>
      <c r="B78" s="17"/>
      <c r="C78" s="18"/>
      <c r="D78" s="18"/>
      <c r="E78" s="18"/>
      <c r="F78" s="18"/>
      <c r="G78" s="22"/>
      <c r="H78" s="22"/>
      <c r="I78" s="21" t="str">
        <f aca="false">IF(N($G78)+N($H78)=0,"",N($G78)+N($H78))</f>
        <v/>
      </c>
      <c r="J78" s="18"/>
      <c r="K78" s="18"/>
      <c r="L78" s="18"/>
      <c r="M78" s="18"/>
      <c r="N78" s="18"/>
      <c r="O78" s="18"/>
      <c r="P78" s="17"/>
      <c r="Q78" s="18"/>
      <c r="R78" s="18"/>
    </row>
    <row r="79" customFormat="false" ht="15" hidden="false" customHeight="false" outlineLevel="0" collapsed="false">
      <c r="A79" s="18"/>
      <c r="B79" s="17"/>
      <c r="C79" s="18"/>
      <c r="D79" s="18"/>
      <c r="E79" s="18"/>
      <c r="F79" s="18"/>
      <c r="G79" s="22"/>
      <c r="H79" s="22"/>
      <c r="I79" s="21" t="str">
        <f aca="false">IF(N($G79)+N($H79)=0,"",N($G79)+N($H79))</f>
        <v/>
      </c>
      <c r="J79" s="18"/>
      <c r="K79" s="18"/>
      <c r="L79" s="18"/>
      <c r="M79" s="18"/>
      <c r="N79" s="18"/>
      <c r="O79" s="18"/>
      <c r="P79" s="17"/>
      <c r="Q79" s="18"/>
      <c r="R79" s="18"/>
    </row>
    <row r="80" customFormat="false" ht="15" hidden="false" customHeight="false" outlineLevel="0" collapsed="false">
      <c r="A80" s="18"/>
      <c r="B80" s="17"/>
      <c r="C80" s="18"/>
      <c r="D80" s="18"/>
      <c r="E80" s="18"/>
      <c r="F80" s="18"/>
      <c r="G80" s="22"/>
      <c r="H80" s="22"/>
      <c r="I80" s="21" t="str">
        <f aca="false">IF(N($G80)+N($H80)=0,"",N($G80)+N($H80))</f>
        <v/>
      </c>
      <c r="J80" s="18"/>
      <c r="K80" s="18"/>
      <c r="L80" s="18"/>
      <c r="M80" s="18"/>
      <c r="N80" s="18"/>
      <c r="O80" s="18"/>
      <c r="P80" s="17"/>
      <c r="Q80" s="18"/>
      <c r="R80" s="18"/>
    </row>
    <row r="81" customFormat="false" ht="15" hidden="false" customHeight="false" outlineLevel="0" collapsed="false">
      <c r="A81" s="18"/>
      <c r="B81" s="17"/>
      <c r="C81" s="18"/>
      <c r="D81" s="18"/>
      <c r="E81" s="18"/>
      <c r="F81" s="18"/>
      <c r="G81" s="22"/>
      <c r="H81" s="22"/>
      <c r="I81" s="21" t="str">
        <f aca="false">IF(N($G81)+N($H81)=0,"",N($G81)+N($H81))</f>
        <v/>
      </c>
      <c r="J81" s="18"/>
      <c r="K81" s="18"/>
      <c r="L81" s="18"/>
      <c r="M81" s="18"/>
      <c r="N81" s="18"/>
      <c r="O81" s="18"/>
      <c r="P81" s="17"/>
      <c r="Q81" s="18"/>
      <c r="R81" s="18"/>
    </row>
    <row r="82" customFormat="false" ht="15" hidden="false" customHeight="false" outlineLevel="0" collapsed="false">
      <c r="A82" s="18"/>
      <c r="B82" s="17"/>
      <c r="C82" s="18"/>
      <c r="D82" s="18"/>
      <c r="E82" s="18"/>
      <c r="F82" s="18"/>
      <c r="G82" s="22"/>
      <c r="H82" s="22"/>
      <c r="I82" s="21" t="str">
        <f aca="false">IF(N($G82)+N($H82)=0,"",N($G82)+N($H82))</f>
        <v/>
      </c>
      <c r="J82" s="18"/>
      <c r="K82" s="18"/>
      <c r="L82" s="18"/>
      <c r="M82" s="18"/>
      <c r="N82" s="18"/>
      <c r="O82" s="18"/>
      <c r="P82" s="17"/>
      <c r="Q82" s="18"/>
      <c r="R82" s="18"/>
    </row>
    <row r="83" customFormat="false" ht="15" hidden="false" customHeight="false" outlineLevel="0" collapsed="false">
      <c r="A83" s="18"/>
      <c r="B83" s="17"/>
      <c r="C83" s="18"/>
      <c r="D83" s="18"/>
      <c r="E83" s="18"/>
      <c r="F83" s="18"/>
      <c r="G83" s="22"/>
      <c r="H83" s="22"/>
      <c r="I83" s="21" t="str">
        <f aca="false">IF(N($G83)+N($H83)=0,"",N($G83)+N($H83))</f>
        <v/>
      </c>
      <c r="J83" s="18"/>
      <c r="K83" s="18"/>
      <c r="L83" s="18"/>
      <c r="M83" s="18"/>
      <c r="N83" s="18"/>
      <c r="O83" s="18"/>
      <c r="P83" s="17"/>
      <c r="Q83" s="18"/>
      <c r="R83" s="18"/>
    </row>
  </sheetData>
  <sheetProtection sheet="true" password="c7e9" objects="true" scenarios="true" sort="false" autoFilter="false"/>
  <mergeCells count="2">
    <mergeCell ref="A1:R1"/>
    <mergeCell ref="A2:R2"/>
  </mergeCells>
  <dataValidations count="7">
    <dataValidation allowBlank="true" errorStyle="stop" operator="between" showDropDown="false" showErrorMessage="false" showInputMessage="false" sqref="D4:D83" type="list">
      <formula1>SETTINGS!$H$5:$H$35</formula1>
      <formula2>0</formula2>
    </dataValidation>
    <dataValidation allowBlank="true" errorStyle="stop" operator="between" showDropDown="false" showErrorMessage="false" showInputMessage="false" sqref="J4:J83" type="list">
      <formula1>SETTINGS!$L$5:$L$11</formula1>
      <formula2>0</formula2>
    </dataValidation>
    <dataValidation allowBlank="true" errorStyle="stop" operator="between" showDropDown="false" showErrorMessage="false" showInputMessage="false" sqref="K4:K83" type="list">
      <formula1>SETTINGS!$G$5:$G$11</formula1>
      <formula2>0</formula2>
    </dataValidation>
    <dataValidation allowBlank="true" errorStyle="stop" operator="between" showDropDown="false" showErrorMessage="false" showInputMessage="false" sqref="L4:L83" type="list">
      <formula1>SETTINGS!$N$5:$N$6</formula1>
      <formula2>0</formula2>
    </dataValidation>
    <dataValidation allowBlank="true" errorStyle="stop" operator="between" showDropDown="false" showErrorMessage="false" showInputMessage="false" sqref="M4:M83" type="list">
      <formula1>SETTINGS!$N$5:$N$6</formula1>
      <formula2>0</formula2>
    </dataValidation>
    <dataValidation allowBlank="true" errorStyle="stop" operator="between" showDropDown="false" showErrorMessage="false" showInputMessage="false" sqref="N4:N83" type="list">
      <formula1>SETTINGS!$A$5:$A$7</formula1>
      <formula2>0</formula2>
    </dataValidation>
    <dataValidation allowBlank="true" errorStyle="stop" operator="between" showDropDown="false" showErrorMessage="false" showInputMessage="false" sqref="O4:O83" type="list">
      <formula1>SETTINGS!$N$5:$N$6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14" min="6" style="0" width="13"/>
    <col collapsed="false" customWidth="true" hidden="false" outlineLevel="0" max="15" min="15" style="0" width="22"/>
    <col collapsed="false" customWidth="true" hidden="false" outlineLevel="0" max="17" min="17" style="0" width="30"/>
    <col collapsed="false" customWidth="true" hidden="false" outlineLevel="0" max="18" min="18" style="0" width="16"/>
  </cols>
  <sheetData>
    <row r="1" customFormat="false" ht="30" hidden="false" customHeight="true" outlineLevel="0" collapsed="false">
      <c r="A1" s="1" t="s">
        <v>458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459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7.75" hidden="false" customHeight="true" outlineLevel="0" collapsed="false">
      <c r="A3" s="15" t="s">
        <v>460</v>
      </c>
      <c r="B3" s="15" t="s">
        <v>387</v>
      </c>
      <c r="C3" s="15" t="s">
        <v>56</v>
      </c>
      <c r="D3" s="15" t="s">
        <v>461</v>
      </c>
      <c r="E3" s="15" t="s">
        <v>178</v>
      </c>
      <c r="F3" s="15" t="s">
        <v>462</v>
      </c>
      <c r="G3" s="15" t="s">
        <v>463</v>
      </c>
      <c r="H3" s="15" t="s">
        <v>464</v>
      </c>
      <c r="I3" s="15" t="s">
        <v>440</v>
      </c>
      <c r="J3" s="15" t="s">
        <v>203</v>
      </c>
      <c r="K3" s="15" t="s">
        <v>465</v>
      </c>
      <c r="L3" s="15" t="s">
        <v>374</v>
      </c>
      <c r="M3" s="15" t="s">
        <v>364</v>
      </c>
      <c r="N3" s="15" t="s">
        <v>466</v>
      </c>
      <c r="O3" s="15" t="s">
        <v>221</v>
      </c>
      <c r="Q3" s="34" t="s">
        <v>467</v>
      </c>
    </row>
    <row r="4" customFormat="false" ht="23.85" hidden="false" customHeight="false" outlineLevel="0" collapsed="false">
      <c r="A4" s="18" t="s">
        <v>468</v>
      </c>
      <c r="B4" s="17" t="n">
        <v>46024</v>
      </c>
      <c r="C4" s="18" t="s">
        <v>469</v>
      </c>
      <c r="D4" s="18" t="s">
        <v>450</v>
      </c>
      <c r="E4" s="18" t="s">
        <v>470</v>
      </c>
      <c r="F4" s="22" t="n">
        <v>5500</v>
      </c>
      <c r="G4" s="22" t="n">
        <v>5000</v>
      </c>
      <c r="H4" s="21" t="n">
        <f aca="false">IF(OR($F4="",$G4=""),"",$F4-$G4)</f>
        <v>500</v>
      </c>
      <c r="I4" s="22" t="n">
        <v>0</v>
      </c>
      <c r="J4" s="18" t="s">
        <v>101</v>
      </c>
      <c r="K4" s="22" t="n">
        <v>2000</v>
      </c>
      <c r="L4" s="21" t="n">
        <f aca="false">IF($G4="","",N($G4)-N($K4))</f>
        <v>3000</v>
      </c>
      <c r="M4" s="18" t="s">
        <v>452</v>
      </c>
      <c r="N4" s="18" t="s">
        <v>471</v>
      </c>
      <c r="O4" s="18" t="s">
        <v>472</v>
      </c>
      <c r="Q4" s="35" t="s">
        <v>473</v>
      </c>
      <c r="R4" s="31" t="n">
        <f aca="false">SUM('BUILDING &amp; SETUP'!$F$4:$F$63)</f>
        <v>12500</v>
      </c>
    </row>
    <row r="5" customFormat="false" ht="23.85" hidden="false" customHeight="false" outlineLevel="0" collapsed="false">
      <c r="A5" s="18" t="s">
        <v>474</v>
      </c>
      <c r="B5" s="17" t="n">
        <v>46025</v>
      </c>
      <c r="C5" s="18" t="s">
        <v>475</v>
      </c>
      <c r="D5" s="18" t="s">
        <v>476</v>
      </c>
      <c r="E5" s="18" t="s">
        <v>477</v>
      </c>
      <c r="F5" s="22" t="n">
        <v>3000</v>
      </c>
      <c r="G5" s="22" t="n">
        <v>3200</v>
      </c>
      <c r="H5" s="21" t="n">
        <f aca="false">IF(OR($F5="",$G5=""),"",$F5-$G5)</f>
        <v>-200</v>
      </c>
      <c r="I5" s="22" t="n">
        <v>640</v>
      </c>
      <c r="J5" s="18" t="s">
        <v>281</v>
      </c>
      <c r="K5" s="22" t="n">
        <v>0</v>
      </c>
      <c r="L5" s="21" t="n">
        <f aca="false">IF($G5="","",N($G5)-N($K5))</f>
        <v>3200</v>
      </c>
      <c r="M5" s="18" t="s">
        <v>478</v>
      </c>
      <c r="N5" s="18" t="s">
        <v>471</v>
      </c>
      <c r="O5" s="18" t="s">
        <v>398</v>
      </c>
      <c r="Q5" s="35" t="s">
        <v>479</v>
      </c>
      <c r="R5" s="31" t="n">
        <f aca="false">SUM('BUILDING &amp; SETUP'!$G$4:$G$63)</f>
        <v>12100</v>
      </c>
    </row>
    <row r="6" customFormat="false" ht="23.85" hidden="false" customHeight="false" outlineLevel="0" collapsed="false">
      <c r="A6" s="18" t="s">
        <v>480</v>
      </c>
      <c r="B6" s="17" t="n">
        <v>46026</v>
      </c>
      <c r="C6" s="18" t="s">
        <v>481</v>
      </c>
      <c r="D6" s="18" t="s">
        <v>482</v>
      </c>
      <c r="E6" s="18" t="s">
        <v>483</v>
      </c>
      <c r="F6" s="22" t="n">
        <v>4000</v>
      </c>
      <c r="G6" s="22" t="n">
        <v>3900</v>
      </c>
      <c r="H6" s="21" t="n">
        <f aca="false">IF(OR($F6="",$G6=""),"",$F6-$G6)</f>
        <v>100</v>
      </c>
      <c r="I6" s="22" t="n">
        <v>780</v>
      </c>
      <c r="J6" s="18" t="s">
        <v>281</v>
      </c>
      <c r="K6" s="22" t="n">
        <v>0</v>
      </c>
      <c r="L6" s="21" t="n">
        <f aca="false">IF($G6="","",N($G6)-N($K6))</f>
        <v>3900</v>
      </c>
      <c r="M6" s="18" t="s">
        <v>484</v>
      </c>
      <c r="N6" s="18" t="s">
        <v>471</v>
      </c>
      <c r="O6" s="18" t="s">
        <v>398</v>
      </c>
      <c r="Q6" s="35" t="s">
        <v>485</v>
      </c>
      <c r="R6" s="31" t="n">
        <f aca="false">$R$4-$R$5</f>
        <v>400</v>
      </c>
    </row>
    <row r="7" customFormat="false" ht="15" hidden="false" customHeight="false" outlineLevel="0" collapsed="false">
      <c r="A7" s="18"/>
      <c r="B7" s="17"/>
      <c r="C7" s="18"/>
      <c r="D7" s="18"/>
      <c r="E7" s="18"/>
      <c r="F7" s="22"/>
      <c r="G7" s="22"/>
      <c r="H7" s="21" t="str">
        <f aca="false">IF(OR($F7="",$G7=""),"",$F7-$G7)</f>
        <v/>
      </c>
      <c r="I7" s="22"/>
      <c r="J7" s="18"/>
      <c r="K7" s="22"/>
      <c r="L7" s="21" t="str">
        <f aca="false">IF($G7="","",N($G7)-N($K7))</f>
        <v/>
      </c>
      <c r="M7" s="18"/>
      <c r="N7" s="18"/>
      <c r="O7" s="18"/>
      <c r="Q7" s="35" t="s">
        <v>486</v>
      </c>
      <c r="R7" s="31" t="n">
        <f aca="false">SUMIFS('BUILDING &amp; SETUP'!$G$4:$G$63,'BUILDING &amp; SETUP'!$J$4:$J$63,"Partner 1")</f>
        <v>0</v>
      </c>
    </row>
    <row r="8" customFormat="false" ht="15" hidden="false" customHeight="false" outlineLevel="0" collapsed="false">
      <c r="A8" s="18"/>
      <c r="B8" s="17"/>
      <c r="C8" s="18"/>
      <c r="D8" s="18"/>
      <c r="E8" s="18"/>
      <c r="F8" s="22"/>
      <c r="G8" s="22"/>
      <c r="H8" s="21" t="str">
        <f aca="false">IF(OR($F8="",$G8=""),"",$F8-$G8)</f>
        <v/>
      </c>
      <c r="I8" s="22"/>
      <c r="J8" s="18"/>
      <c r="K8" s="22"/>
      <c r="L8" s="21" t="str">
        <f aca="false">IF($G8="","",N($G8)-N($K8))</f>
        <v/>
      </c>
      <c r="M8" s="18"/>
      <c r="N8" s="18"/>
      <c r="O8" s="18"/>
      <c r="Q8" s="35" t="s">
        <v>487</v>
      </c>
      <c r="R8" s="31" t="n">
        <f aca="false">SUMIFS('BUILDING &amp; SETUP'!$G$4:$G$63,'BUILDING &amp; SETUP'!$J$4:$J$63,"Partner 2")</f>
        <v>0</v>
      </c>
    </row>
    <row r="9" customFormat="false" ht="15" hidden="false" customHeight="false" outlineLevel="0" collapsed="false">
      <c r="A9" s="18"/>
      <c r="B9" s="17"/>
      <c r="C9" s="18"/>
      <c r="D9" s="18"/>
      <c r="E9" s="18"/>
      <c r="F9" s="22"/>
      <c r="G9" s="22"/>
      <c r="H9" s="21" t="str">
        <f aca="false">IF(OR($F9="",$G9=""),"",$F9-$G9)</f>
        <v/>
      </c>
      <c r="I9" s="22"/>
      <c r="J9" s="18"/>
      <c r="K9" s="22"/>
      <c r="L9" s="21" t="str">
        <f aca="false">IF($G9="","",N($G9)-N($K9))</f>
        <v/>
      </c>
      <c r="M9" s="18"/>
      <c r="N9" s="18"/>
      <c r="O9" s="18"/>
      <c r="Q9" s="35" t="s">
        <v>488</v>
      </c>
      <c r="R9" s="31" t="n">
        <f aca="false">SUMIFS('BUILDING &amp; SETUP'!$G$4:$G$63,'BUILDING &amp; SETUP'!$J$4:$J$63,"Partner 3")</f>
        <v>5000</v>
      </c>
    </row>
    <row r="10" customFormat="false" ht="15" hidden="false" customHeight="false" outlineLevel="0" collapsed="false">
      <c r="A10" s="18"/>
      <c r="B10" s="17"/>
      <c r="C10" s="18"/>
      <c r="D10" s="18"/>
      <c r="E10" s="18"/>
      <c r="F10" s="22"/>
      <c r="G10" s="22"/>
      <c r="H10" s="21" t="str">
        <f aca="false">IF(OR($F10="",$G10=""),"",$F10-$G10)</f>
        <v/>
      </c>
      <c r="I10" s="22"/>
      <c r="J10" s="18"/>
      <c r="K10" s="22"/>
      <c r="L10" s="21" t="str">
        <f aca="false">IF($G10="","",N($G10)-N($K10))</f>
        <v/>
      </c>
      <c r="M10" s="18"/>
      <c r="N10" s="18"/>
      <c r="O10" s="18"/>
      <c r="Q10" s="35" t="s">
        <v>489</v>
      </c>
      <c r="R10" s="31" t="n">
        <f aca="false">SUMIFS('BUILDING &amp; SETUP'!$G$4:$G$63,'BUILDING &amp; SETUP'!$J$4:$J$63,"Business Bank Account")+SUMIFS('BUILDING &amp; SETUP'!$G$4:$G$63,'BUILDING &amp; SETUP'!$J$4:$J$63,"Business Cash")</f>
        <v>7100</v>
      </c>
    </row>
    <row r="11" customFormat="false" ht="15" hidden="false" customHeight="false" outlineLevel="0" collapsed="false">
      <c r="A11" s="18"/>
      <c r="B11" s="17"/>
      <c r="C11" s="18"/>
      <c r="D11" s="18"/>
      <c r="E11" s="18"/>
      <c r="F11" s="22"/>
      <c r="G11" s="22"/>
      <c r="H11" s="21" t="str">
        <f aca="false">IF(OR($F11="",$G11=""),"",$F11-$G11)</f>
        <v/>
      </c>
      <c r="I11" s="22"/>
      <c r="J11" s="18"/>
      <c r="K11" s="22"/>
      <c r="L11" s="21" t="str">
        <f aca="false">IF($G11="","",N($G11)-N($K11))</f>
        <v/>
      </c>
      <c r="M11" s="18"/>
      <c r="N11" s="18"/>
      <c r="O11" s="18"/>
      <c r="Q11" s="35" t="s">
        <v>490</v>
      </c>
      <c r="R11" s="31" t="n">
        <f aca="false">SUM('BUILDING &amp; SETUP'!$L$4:$L$63)</f>
        <v>10100</v>
      </c>
    </row>
    <row r="12" customFormat="false" ht="15" hidden="false" customHeight="false" outlineLevel="0" collapsed="false">
      <c r="A12" s="18"/>
      <c r="B12" s="17"/>
      <c r="C12" s="18"/>
      <c r="D12" s="18"/>
      <c r="E12" s="18"/>
      <c r="F12" s="22"/>
      <c r="G12" s="22"/>
      <c r="H12" s="21" t="str">
        <f aca="false">IF(OR($F12="",$G12=""),"",$F12-$G12)</f>
        <v/>
      </c>
      <c r="I12" s="22"/>
      <c r="J12" s="18"/>
      <c r="K12" s="22"/>
      <c r="L12" s="21" t="str">
        <f aca="false">IF($G12="","",N($G12)-N($K12))</f>
        <v/>
      </c>
      <c r="M12" s="18"/>
      <c r="N12" s="18"/>
      <c r="O12" s="18"/>
    </row>
    <row r="13" customFormat="false" ht="15" hidden="false" customHeight="false" outlineLevel="0" collapsed="false">
      <c r="A13" s="18"/>
      <c r="B13" s="17"/>
      <c r="C13" s="18"/>
      <c r="D13" s="18"/>
      <c r="E13" s="18"/>
      <c r="F13" s="22"/>
      <c r="G13" s="22"/>
      <c r="H13" s="21" t="str">
        <f aca="false">IF(OR($F13="",$G13=""),"",$F13-$G13)</f>
        <v/>
      </c>
      <c r="I13" s="22"/>
      <c r="J13" s="18"/>
      <c r="K13" s="22"/>
      <c r="L13" s="21" t="str">
        <f aca="false">IF($G13="","",N($G13)-N($K13))</f>
        <v/>
      </c>
      <c r="M13" s="18"/>
      <c r="N13" s="18"/>
      <c r="O13" s="18"/>
    </row>
    <row r="14" customFormat="false" ht="15" hidden="false" customHeight="false" outlineLevel="0" collapsed="false">
      <c r="A14" s="18"/>
      <c r="B14" s="17"/>
      <c r="C14" s="18"/>
      <c r="D14" s="18"/>
      <c r="E14" s="18"/>
      <c r="F14" s="22"/>
      <c r="G14" s="22"/>
      <c r="H14" s="21" t="str">
        <f aca="false">IF(OR($F14="",$G14=""),"",$F14-$G14)</f>
        <v/>
      </c>
      <c r="I14" s="22"/>
      <c r="J14" s="18"/>
      <c r="K14" s="22"/>
      <c r="L14" s="21" t="str">
        <f aca="false">IF($G14="","",N($G14)-N($K14))</f>
        <v/>
      </c>
      <c r="M14" s="18"/>
      <c r="N14" s="18"/>
      <c r="O14" s="18"/>
    </row>
    <row r="15" customFormat="false" ht="15" hidden="false" customHeight="false" outlineLevel="0" collapsed="false">
      <c r="A15" s="18"/>
      <c r="B15" s="17"/>
      <c r="C15" s="18"/>
      <c r="D15" s="18"/>
      <c r="E15" s="18"/>
      <c r="F15" s="22"/>
      <c r="G15" s="22"/>
      <c r="H15" s="21" t="str">
        <f aca="false">IF(OR($F15="",$G15=""),"",$F15-$G15)</f>
        <v/>
      </c>
      <c r="I15" s="22"/>
      <c r="J15" s="18"/>
      <c r="K15" s="22"/>
      <c r="L15" s="21" t="str">
        <f aca="false">IF($G15="","",N($G15)-N($K15))</f>
        <v/>
      </c>
      <c r="M15" s="18"/>
      <c r="N15" s="18"/>
      <c r="O15" s="18"/>
    </row>
    <row r="16" customFormat="false" ht="15" hidden="false" customHeight="false" outlineLevel="0" collapsed="false">
      <c r="A16" s="18"/>
      <c r="B16" s="17"/>
      <c r="C16" s="18"/>
      <c r="D16" s="18"/>
      <c r="E16" s="18"/>
      <c r="F16" s="22"/>
      <c r="G16" s="22"/>
      <c r="H16" s="21" t="str">
        <f aca="false">IF(OR($F16="",$G16=""),"",$F16-$G16)</f>
        <v/>
      </c>
      <c r="I16" s="22"/>
      <c r="J16" s="18"/>
      <c r="K16" s="22"/>
      <c r="L16" s="21" t="str">
        <f aca="false">IF($G16="","",N($G16)-N($K16))</f>
        <v/>
      </c>
      <c r="M16" s="18"/>
      <c r="N16" s="18"/>
      <c r="O16" s="18"/>
    </row>
    <row r="17" customFormat="false" ht="15" hidden="false" customHeight="false" outlineLevel="0" collapsed="false">
      <c r="A17" s="18"/>
      <c r="B17" s="17"/>
      <c r="C17" s="18"/>
      <c r="D17" s="18"/>
      <c r="E17" s="18"/>
      <c r="F17" s="22"/>
      <c r="G17" s="22"/>
      <c r="H17" s="21" t="str">
        <f aca="false">IF(OR($F17="",$G17=""),"",$F17-$G17)</f>
        <v/>
      </c>
      <c r="I17" s="22"/>
      <c r="J17" s="18"/>
      <c r="K17" s="22"/>
      <c r="L17" s="21" t="str">
        <f aca="false">IF($G17="","",N($G17)-N($K17))</f>
        <v/>
      </c>
      <c r="M17" s="18"/>
      <c r="N17" s="18"/>
      <c r="O17" s="18"/>
    </row>
    <row r="18" customFormat="false" ht="15" hidden="false" customHeight="false" outlineLevel="0" collapsed="false">
      <c r="A18" s="18"/>
      <c r="B18" s="17"/>
      <c r="C18" s="18"/>
      <c r="D18" s="18"/>
      <c r="E18" s="18"/>
      <c r="F18" s="22"/>
      <c r="G18" s="22"/>
      <c r="H18" s="21" t="str">
        <f aca="false">IF(OR($F18="",$G18=""),"",$F18-$G18)</f>
        <v/>
      </c>
      <c r="I18" s="22"/>
      <c r="J18" s="18"/>
      <c r="K18" s="22"/>
      <c r="L18" s="21" t="str">
        <f aca="false">IF($G18="","",N($G18)-N($K18))</f>
        <v/>
      </c>
      <c r="M18" s="18"/>
      <c r="N18" s="18"/>
      <c r="O18" s="18"/>
    </row>
    <row r="19" customFormat="false" ht="15" hidden="false" customHeight="false" outlineLevel="0" collapsed="false">
      <c r="A19" s="18"/>
      <c r="B19" s="17"/>
      <c r="C19" s="18"/>
      <c r="D19" s="18"/>
      <c r="E19" s="18"/>
      <c r="F19" s="22"/>
      <c r="G19" s="22"/>
      <c r="H19" s="21" t="str">
        <f aca="false">IF(OR($F19="",$G19=""),"",$F19-$G19)</f>
        <v/>
      </c>
      <c r="I19" s="22"/>
      <c r="J19" s="18"/>
      <c r="K19" s="22"/>
      <c r="L19" s="21" t="str">
        <f aca="false">IF($G19="","",N($G19)-N($K19))</f>
        <v/>
      </c>
      <c r="M19" s="18"/>
      <c r="N19" s="18"/>
      <c r="O19" s="18"/>
    </row>
    <row r="20" customFormat="false" ht="15" hidden="false" customHeight="false" outlineLevel="0" collapsed="false">
      <c r="A20" s="18"/>
      <c r="B20" s="17"/>
      <c r="C20" s="18"/>
      <c r="D20" s="18"/>
      <c r="E20" s="18"/>
      <c r="F20" s="22"/>
      <c r="G20" s="22"/>
      <c r="H20" s="21" t="str">
        <f aca="false">IF(OR($F20="",$G20=""),"",$F20-$G20)</f>
        <v/>
      </c>
      <c r="I20" s="22"/>
      <c r="J20" s="18"/>
      <c r="K20" s="22"/>
      <c r="L20" s="21" t="str">
        <f aca="false">IF($G20="","",N($G20)-N($K20))</f>
        <v/>
      </c>
      <c r="M20" s="18"/>
      <c r="N20" s="18"/>
      <c r="O20" s="18"/>
    </row>
    <row r="21" customFormat="false" ht="15" hidden="false" customHeight="false" outlineLevel="0" collapsed="false">
      <c r="A21" s="18"/>
      <c r="B21" s="17"/>
      <c r="C21" s="18"/>
      <c r="D21" s="18"/>
      <c r="E21" s="18"/>
      <c r="F21" s="22"/>
      <c r="G21" s="22"/>
      <c r="H21" s="21" t="str">
        <f aca="false">IF(OR($F21="",$G21=""),"",$F21-$G21)</f>
        <v/>
      </c>
      <c r="I21" s="22"/>
      <c r="J21" s="18"/>
      <c r="K21" s="22"/>
      <c r="L21" s="21" t="str">
        <f aca="false">IF($G21="","",N($G21)-N($K21))</f>
        <v/>
      </c>
      <c r="M21" s="18"/>
      <c r="N21" s="18"/>
      <c r="O21" s="18"/>
    </row>
    <row r="22" customFormat="false" ht="15" hidden="false" customHeight="false" outlineLevel="0" collapsed="false">
      <c r="A22" s="18"/>
      <c r="B22" s="17"/>
      <c r="C22" s="18"/>
      <c r="D22" s="18"/>
      <c r="E22" s="18"/>
      <c r="F22" s="22"/>
      <c r="G22" s="22"/>
      <c r="H22" s="21" t="str">
        <f aca="false">IF(OR($F22="",$G22=""),"",$F22-$G22)</f>
        <v/>
      </c>
      <c r="I22" s="22"/>
      <c r="J22" s="18"/>
      <c r="K22" s="22"/>
      <c r="L22" s="21" t="str">
        <f aca="false">IF($G22="","",N($G22)-N($K22))</f>
        <v/>
      </c>
      <c r="M22" s="18"/>
      <c r="N22" s="18"/>
      <c r="O22" s="18"/>
    </row>
    <row r="23" customFormat="false" ht="15" hidden="false" customHeight="false" outlineLevel="0" collapsed="false">
      <c r="A23" s="18"/>
      <c r="B23" s="17"/>
      <c r="C23" s="18"/>
      <c r="D23" s="18"/>
      <c r="E23" s="18"/>
      <c r="F23" s="22"/>
      <c r="G23" s="22"/>
      <c r="H23" s="21" t="str">
        <f aca="false">IF(OR($F23="",$G23=""),"",$F23-$G23)</f>
        <v/>
      </c>
      <c r="I23" s="22"/>
      <c r="J23" s="18"/>
      <c r="K23" s="22"/>
      <c r="L23" s="21" t="str">
        <f aca="false">IF($G23="","",N($G23)-N($K23))</f>
        <v/>
      </c>
      <c r="M23" s="18"/>
      <c r="N23" s="18"/>
      <c r="O23" s="18"/>
    </row>
    <row r="24" customFormat="false" ht="15" hidden="false" customHeight="false" outlineLevel="0" collapsed="false">
      <c r="A24" s="18"/>
      <c r="B24" s="17"/>
      <c r="C24" s="18"/>
      <c r="D24" s="18"/>
      <c r="E24" s="18"/>
      <c r="F24" s="22"/>
      <c r="G24" s="22"/>
      <c r="H24" s="21" t="str">
        <f aca="false">IF(OR($F24="",$G24=""),"",$F24-$G24)</f>
        <v/>
      </c>
      <c r="I24" s="22"/>
      <c r="J24" s="18"/>
      <c r="K24" s="22"/>
      <c r="L24" s="21" t="str">
        <f aca="false">IF($G24="","",N($G24)-N($K24))</f>
        <v/>
      </c>
      <c r="M24" s="18"/>
      <c r="N24" s="18"/>
      <c r="O24" s="18"/>
    </row>
    <row r="25" customFormat="false" ht="15" hidden="false" customHeight="false" outlineLevel="0" collapsed="false">
      <c r="A25" s="18"/>
      <c r="B25" s="17"/>
      <c r="C25" s="18"/>
      <c r="D25" s="18"/>
      <c r="E25" s="18"/>
      <c r="F25" s="22"/>
      <c r="G25" s="22"/>
      <c r="H25" s="21" t="str">
        <f aca="false">IF(OR($F25="",$G25=""),"",$F25-$G25)</f>
        <v/>
      </c>
      <c r="I25" s="22"/>
      <c r="J25" s="18"/>
      <c r="K25" s="22"/>
      <c r="L25" s="21" t="str">
        <f aca="false">IF($G25="","",N($G25)-N($K25))</f>
        <v/>
      </c>
      <c r="M25" s="18"/>
      <c r="N25" s="18"/>
      <c r="O25" s="18"/>
    </row>
    <row r="26" customFormat="false" ht="15" hidden="false" customHeight="false" outlineLevel="0" collapsed="false">
      <c r="A26" s="18"/>
      <c r="B26" s="17"/>
      <c r="C26" s="18"/>
      <c r="D26" s="18"/>
      <c r="E26" s="18"/>
      <c r="F26" s="22"/>
      <c r="G26" s="22"/>
      <c r="H26" s="21" t="str">
        <f aca="false">IF(OR($F26="",$G26=""),"",$F26-$G26)</f>
        <v/>
      </c>
      <c r="I26" s="22"/>
      <c r="J26" s="18"/>
      <c r="K26" s="22"/>
      <c r="L26" s="21" t="str">
        <f aca="false">IF($G26="","",N($G26)-N($K26))</f>
        <v/>
      </c>
      <c r="M26" s="18"/>
      <c r="N26" s="18"/>
      <c r="O26" s="18"/>
    </row>
    <row r="27" customFormat="false" ht="15" hidden="false" customHeight="false" outlineLevel="0" collapsed="false">
      <c r="A27" s="18"/>
      <c r="B27" s="17"/>
      <c r="C27" s="18"/>
      <c r="D27" s="18"/>
      <c r="E27" s="18"/>
      <c r="F27" s="22"/>
      <c r="G27" s="22"/>
      <c r="H27" s="21" t="str">
        <f aca="false">IF(OR($F27="",$G27=""),"",$F27-$G27)</f>
        <v/>
      </c>
      <c r="I27" s="22"/>
      <c r="J27" s="18"/>
      <c r="K27" s="22"/>
      <c r="L27" s="21" t="str">
        <f aca="false">IF($G27="","",N($G27)-N($K27))</f>
        <v/>
      </c>
      <c r="M27" s="18"/>
      <c r="N27" s="18"/>
      <c r="O27" s="18"/>
    </row>
    <row r="28" customFormat="false" ht="15" hidden="false" customHeight="false" outlineLevel="0" collapsed="false">
      <c r="A28" s="18"/>
      <c r="B28" s="17"/>
      <c r="C28" s="18"/>
      <c r="D28" s="18"/>
      <c r="E28" s="18"/>
      <c r="F28" s="22"/>
      <c r="G28" s="22"/>
      <c r="H28" s="21" t="str">
        <f aca="false">IF(OR($F28="",$G28=""),"",$F28-$G28)</f>
        <v/>
      </c>
      <c r="I28" s="22"/>
      <c r="J28" s="18"/>
      <c r="K28" s="22"/>
      <c r="L28" s="21" t="str">
        <f aca="false">IF($G28="","",N($G28)-N($K28))</f>
        <v/>
      </c>
      <c r="M28" s="18"/>
      <c r="N28" s="18"/>
      <c r="O28" s="18"/>
    </row>
    <row r="29" customFormat="false" ht="15" hidden="false" customHeight="false" outlineLevel="0" collapsed="false">
      <c r="A29" s="18"/>
      <c r="B29" s="17"/>
      <c r="C29" s="18"/>
      <c r="D29" s="18"/>
      <c r="E29" s="18"/>
      <c r="F29" s="22"/>
      <c r="G29" s="22"/>
      <c r="H29" s="21" t="str">
        <f aca="false">IF(OR($F29="",$G29=""),"",$F29-$G29)</f>
        <v/>
      </c>
      <c r="I29" s="22"/>
      <c r="J29" s="18"/>
      <c r="K29" s="22"/>
      <c r="L29" s="21" t="str">
        <f aca="false">IF($G29="","",N($G29)-N($K29))</f>
        <v/>
      </c>
      <c r="M29" s="18"/>
      <c r="N29" s="18"/>
      <c r="O29" s="18"/>
    </row>
    <row r="30" customFormat="false" ht="15" hidden="false" customHeight="false" outlineLevel="0" collapsed="false">
      <c r="A30" s="18"/>
      <c r="B30" s="17"/>
      <c r="C30" s="18"/>
      <c r="D30" s="18"/>
      <c r="E30" s="18"/>
      <c r="F30" s="22"/>
      <c r="G30" s="22"/>
      <c r="H30" s="21" t="str">
        <f aca="false">IF(OR($F30="",$G30=""),"",$F30-$G30)</f>
        <v/>
      </c>
      <c r="I30" s="22"/>
      <c r="J30" s="18"/>
      <c r="K30" s="22"/>
      <c r="L30" s="21" t="str">
        <f aca="false">IF($G30="","",N($G30)-N($K30))</f>
        <v/>
      </c>
      <c r="M30" s="18"/>
      <c r="N30" s="18"/>
      <c r="O30" s="18"/>
    </row>
    <row r="31" customFormat="false" ht="15" hidden="false" customHeight="false" outlineLevel="0" collapsed="false">
      <c r="A31" s="18"/>
      <c r="B31" s="17"/>
      <c r="C31" s="18"/>
      <c r="D31" s="18"/>
      <c r="E31" s="18"/>
      <c r="F31" s="22"/>
      <c r="G31" s="22"/>
      <c r="H31" s="21" t="str">
        <f aca="false">IF(OR($F31="",$G31=""),"",$F31-$G31)</f>
        <v/>
      </c>
      <c r="I31" s="22"/>
      <c r="J31" s="18"/>
      <c r="K31" s="22"/>
      <c r="L31" s="21" t="str">
        <f aca="false">IF($G31="","",N($G31)-N($K31))</f>
        <v/>
      </c>
      <c r="M31" s="18"/>
      <c r="N31" s="18"/>
      <c r="O31" s="18"/>
    </row>
    <row r="32" customFormat="false" ht="15" hidden="false" customHeight="false" outlineLevel="0" collapsed="false">
      <c r="A32" s="18"/>
      <c r="B32" s="17"/>
      <c r="C32" s="18"/>
      <c r="D32" s="18"/>
      <c r="E32" s="18"/>
      <c r="F32" s="22"/>
      <c r="G32" s="22"/>
      <c r="H32" s="21" t="str">
        <f aca="false">IF(OR($F32="",$G32=""),"",$F32-$G32)</f>
        <v/>
      </c>
      <c r="I32" s="22"/>
      <c r="J32" s="18"/>
      <c r="K32" s="22"/>
      <c r="L32" s="21" t="str">
        <f aca="false">IF($G32="","",N($G32)-N($K32))</f>
        <v/>
      </c>
      <c r="M32" s="18"/>
      <c r="N32" s="18"/>
      <c r="O32" s="18"/>
    </row>
    <row r="33" customFormat="false" ht="15" hidden="false" customHeight="false" outlineLevel="0" collapsed="false">
      <c r="A33" s="18"/>
      <c r="B33" s="17"/>
      <c r="C33" s="18"/>
      <c r="D33" s="18"/>
      <c r="E33" s="18"/>
      <c r="F33" s="22"/>
      <c r="G33" s="22"/>
      <c r="H33" s="21" t="str">
        <f aca="false">IF(OR($F33="",$G33=""),"",$F33-$G33)</f>
        <v/>
      </c>
      <c r="I33" s="22"/>
      <c r="J33" s="18"/>
      <c r="K33" s="22"/>
      <c r="L33" s="21" t="str">
        <f aca="false">IF($G33="","",N($G33)-N($K33))</f>
        <v/>
      </c>
      <c r="M33" s="18"/>
      <c r="N33" s="18"/>
      <c r="O33" s="18"/>
    </row>
    <row r="34" customFormat="false" ht="15" hidden="false" customHeight="false" outlineLevel="0" collapsed="false">
      <c r="A34" s="18"/>
      <c r="B34" s="17"/>
      <c r="C34" s="18"/>
      <c r="D34" s="18"/>
      <c r="E34" s="18"/>
      <c r="F34" s="22"/>
      <c r="G34" s="22"/>
      <c r="H34" s="21" t="str">
        <f aca="false">IF(OR($F34="",$G34=""),"",$F34-$G34)</f>
        <v/>
      </c>
      <c r="I34" s="22"/>
      <c r="J34" s="18"/>
      <c r="K34" s="22"/>
      <c r="L34" s="21" t="str">
        <f aca="false">IF($G34="","",N($G34)-N($K34))</f>
        <v/>
      </c>
      <c r="M34" s="18"/>
      <c r="N34" s="18"/>
      <c r="O34" s="18"/>
    </row>
    <row r="35" customFormat="false" ht="15" hidden="false" customHeight="false" outlineLevel="0" collapsed="false">
      <c r="A35" s="18"/>
      <c r="B35" s="17"/>
      <c r="C35" s="18"/>
      <c r="D35" s="18"/>
      <c r="E35" s="18"/>
      <c r="F35" s="22"/>
      <c r="G35" s="22"/>
      <c r="H35" s="21" t="str">
        <f aca="false">IF(OR($F35="",$G35=""),"",$F35-$G35)</f>
        <v/>
      </c>
      <c r="I35" s="22"/>
      <c r="J35" s="18"/>
      <c r="K35" s="22"/>
      <c r="L35" s="21" t="str">
        <f aca="false">IF($G35="","",N($G35)-N($K35))</f>
        <v/>
      </c>
      <c r="M35" s="18"/>
      <c r="N35" s="18"/>
      <c r="O35" s="18"/>
    </row>
    <row r="36" customFormat="false" ht="15" hidden="false" customHeight="false" outlineLevel="0" collapsed="false">
      <c r="A36" s="18"/>
      <c r="B36" s="17"/>
      <c r="C36" s="18"/>
      <c r="D36" s="18"/>
      <c r="E36" s="18"/>
      <c r="F36" s="22"/>
      <c r="G36" s="22"/>
      <c r="H36" s="21" t="str">
        <f aca="false">IF(OR($F36="",$G36=""),"",$F36-$G36)</f>
        <v/>
      </c>
      <c r="I36" s="22"/>
      <c r="J36" s="18"/>
      <c r="K36" s="22"/>
      <c r="L36" s="21" t="str">
        <f aca="false">IF($G36="","",N($G36)-N($K36))</f>
        <v/>
      </c>
      <c r="M36" s="18"/>
      <c r="N36" s="18"/>
      <c r="O36" s="18"/>
    </row>
    <row r="37" customFormat="false" ht="15" hidden="false" customHeight="false" outlineLevel="0" collapsed="false">
      <c r="A37" s="18"/>
      <c r="B37" s="17"/>
      <c r="C37" s="18"/>
      <c r="D37" s="18"/>
      <c r="E37" s="18"/>
      <c r="F37" s="22"/>
      <c r="G37" s="22"/>
      <c r="H37" s="21" t="str">
        <f aca="false">IF(OR($F37="",$G37=""),"",$F37-$G37)</f>
        <v/>
      </c>
      <c r="I37" s="22"/>
      <c r="J37" s="18"/>
      <c r="K37" s="22"/>
      <c r="L37" s="21" t="str">
        <f aca="false">IF($G37="","",N($G37)-N($K37))</f>
        <v/>
      </c>
      <c r="M37" s="18"/>
      <c r="N37" s="18"/>
      <c r="O37" s="18"/>
    </row>
    <row r="38" customFormat="false" ht="15" hidden="false" customHeight="false" outlineLevel="0" collapsed="false">
      <c r="A38" s="18"/>
      <c r="B38" s="17"/>
      <c r="C38" s="18"/>
      <c r="D38" s="18"/>
      <c r="E38" s="18"/>
      <c r="F38" s="22"/>
      <c r="G38" s="22"/>
      <c r="H38" s="21" t="str">
        <f aca="false">IF(OR($F38="",$G38=""),"",$F38-$G38)</f>
        <v/>
      </c>
      <c r="I38" s="22"/>
      <c r="J38" s="18"/>
      <c r="K38" s="22"/>
      <c r="L38" s="21" t="str">
        <f aca="false">IF($G38="","",N($G38)-N($K38))</f>
        <v/>
      </c>
      <c r="M38" s="18"/>
      <c r="N38" s="18"/>
      <c r="O38" s="18"/>
    </row>
    <row r="39" customFormat="false" ht="15" hidden="false" customHeight="false" outlineLevel="0" collapsed="false">
      <c r="A39" s="18"/>
      <c r="B39" s="17"/>
      <c r="C39" s="18"/>
      <c r="D39" s="18"/>
      <c r="E39" s="18"/>
      <c r="F39" s="22"/>
      <c r="G39" s="22"/>
      <c r="H39" s="21" t="str">
        <f aca="false">IF(OR($F39="",$G39=""),"",$F39-$G39)</f>
        <v/>
      </c>
      <c r="I39" s="22"/>
      <c r="J39" s="18"/>
      <c r="K39" s="22"/>
      <c r="L39" s="21" t="str">
        <f aca="false">IF($G39="","",N($G39)-N($K39))</f>
        <v/>
      </c>
      <c r="M39" s="18"/>
      <c r="N39" s="18"/>
      <c r="O39" s="18"/>
    </row>
    <row r="40" customFormat="false" ht="15" hidden="false" customHeight="false" outlineLevel="0" collapsed="false">
      <c r="A40" s="18"/>
      <c r="B40" s="17"/>
      <c r="C40" s="18"/>
      <c r="D40" s="18"/>
      <c r="E40" s="18"/>
      <c r="F40" s="22"/>
      <c r="G40" s="22"/>
      <c r="H40" s="21" t="str">
        <f aca="false">IF(OR($F40="",$G40=""),"",$F40-$G40)</f>
        <v/>
      </c>
      <c r="I40" s="22"/>
      <c r="J40" s="18"/>
      <c r="K40" s="22"/>
      <c r="L40" s="21" t="str">
        <f aca="false">IF($G40="","",N($G40)-N($K40))</f>
        <v/>
      </c>
      <c r="M40" s="18"/>
      <c r="N40" s="18"/>
      <c r="O40" s="18"/>
    </row>
    <row r="41" customFormat="false" ht="15" hidden="false" customHeight="false" outlineLevel="0" collapsed="false">
      <c r="A41" s="18"/>
      <c r="B41" s="17"/>
      <c r="C41" s="18"/>
      <c r="D41" s="18"/>
      <c r="E41" s="18"/>
      <c r="F41" s="22"/>
      <c r="G41" s="22"/>
      <c r="H41" s="21" t="str">
        <f aca="false">IF(OR($F41="",$G41=""),"",$F41-$G41)</f>
        <v/>
      </c>
      <c r="I41" s="22"/>
      <c r="J41" s="18"/>
      <c r="K41" s="22"/>
      <c r="L41" s="21" t="str">
        <f aca="false">IF($G41="","",N($G41)-N($K41))</f>
        <v/>
      </c>
      <c r="M41" s="18"/>
      <c r="N41" s="18"/>
      <c r="O41" s="18"/>
    </row>
    <row r="42" customFormat="false" ht="15" hidden="false" customHeight="false" outlineLevel="0" collapsed="false">
      <c r="A42" s="18"/>
      <c r="B42" s="17"/>
      <c r="C42" s="18"/>
      <c r="D42" s="18"/>
      <c r="E42" s="18"/>
      <c r="F42" s="22"/>
      <c r="G42" s="22"/>
      <c r="H42" s="21" t="str">
        <f aca="false">IF(OR($F42="",$G42=""),"",$F42-$G42)</f>
        <v/>
      </c>
      <c r="I42" s="22"/>
      <c r="J42" s="18"/>
      <c r="K42" s="22"/>
      <c r="L42" s="21" t="str">
        <f aca="false">IF($G42="","",N($G42)-N($K42))</f>
        <v/>
      </c>
      <c r="M42" s="18"/>
      <c r="N42" s="18"/>
      <c r="O42" s="18"/>
    </row>
    <row r="43" customFormat="false" ht="15" hidden="false" customHeight="false" outlineLevel="0" collapsed="false">
      <c r="A43" s="18"/>
      <c r="B43" s="17"/>
      <c r="C43" s="18"/>
      <c r="D43" s="18"/>
      <c r="E43" s="18"/>
      <c r="F43" s="22"/>
      <c r="G43" s="22"/>
      <c r="H43" s="21" t="str">
        <f aca="false">IF(OR($F43="",$G43=""),"",$F43-$G43)</f>
        <v/>
      </c>
      <c r="I43" s="22"/>
      <c r="J43" s="18"/>
      <c r="K43" s="22"/>
      <c r="L43" s="21" t="str">
        <f aca="false">IF($G43="","",N($G43)-N($K43))</f>
        <v/>
      </c>
      <c r="M43" s="18"/>
      <c r="N43" s="18"/>
      <c r="O43" s="18"/>
    </row>
    <row r="44" customFormat="false" ht="15" hidden="false" customHeight="false" outlineLevel="0" collapsed="false">
      <c r="A44" s="18"/>
      <c r="B44" s="17"/>
      <c r="C44" s="18"/>
      <c r="D44" s="18"/>
      <c r="E44" s="18"/>
      <c r="F44" s="22"/>
      <c r="G44" s="22"/>
      <c r="H44" s="21" t="str">
        <f aca="false">IF(OR($F44="",$G44=""),"",$F44-$G44)</f>
        <v/>
      </c>
      <c r="I44" s="22"/>
      <c r="J44" s="18"/>
      <c r="K44" s="22"/>
      <c r="L44" s="21" t="str">
        <f aca="false">IF($G44="","",N($G44)-N($K44))</f>
        <v/>
      </c>
      <c r="M44" s="18"/>
      <c r="N44" s="18"/>
      <c r="O44" s="18"/>
    </row>
    <row r="45" customFormat="false" ht="15" hidden="false" customHeight="false" outlineLevel="0" collapsed="false">
      <c r="A45" s="18"/>
      <c r="B45" s="17"/>
      <c r="C45" s="18"/>
      <c r="D45" s="18"/>
      <c r="E45" s="18"/>
      <c r="F45" s="22"/>
      <c r="G45" s="22"/>
      <c r="H45" s="21" t="str">
        <f aca="false">IF(OR($F45="",$G45=""),"",$F45-$G45)</f>
        <v/>
      </c>
      <c r="I45" s="22"/>
      <c r="J45" s="18"/>
      <c r="K45" s="22"/>
      <c r="L45" s="21" t="str">
        <f aca="false">IF($G45="","",N($G45)-N($K45))</f>
        <v/>
      </c>
      <c r="M45" s="18"/>
      <c r="N45" s="18"/>
      <c r="O45" s="18"/>
    </row>
    <row r="46" customFormat="false" ht="15" hidden="false" customHeight="false" outlineLevel="0" collapsed="false">
      <c r="A46" s="18"/>
      <c r="B46" s="17"/>
      <c r="C46" s="18"/>
      <c r="D46" s="18"/>
      <c r="E46" s="18"/>
      <c r="F46" s="22"/>
      <c r="G46" s="22"/>
      <c r="H46" s="21" t="str">
        <f aca="false">IF(OR($F46="",$G46=""),"",$F46-$G46)</f>
        <v/>
      </c>
      <c r="I46" s="22"/>
      <c r="J46" s="18"/>
      <c r="K46" s="22"/>
      <c r="L46" s="21" t="str">
        <f aca="false">IF($G46="","",N($G46)-N($K46))</f>
        <v/>
      </c>
      <c r="M46" s="18"/>
      <c r="N46" s="18"/>
      <c r="O46" s="18"/>
    </row>
    <row r="47" customFormat="false" ht="15" hidden="false" customHeight="false" outlineLevel="0" collapsed="false">
      <c r="A47" s="18"/>
      <c r="B47" s="17"/>
      <c r="C47" s="18"/>
      <c r="D47" s="18"/>
      <c r="E47" s="18"/>
      <c r="F47" s="22"/>
      <c r="G47" s="22"/>
      <c r="H47" s="21" t="str">
        <f aca="false">IF(OR($F47="",$G47=""),"",$F47-$G47)</f>
        <v/>
      </c>
      <c r="I47" s="22"/>
      <c r="J47" s="18"/>
      <c r="K47" s="22"/>
      <c r="L47" s="21" t="str">
        <f aca="false">IF($G47="","",N($G47)-N($K47))</f>
        <v/>
      </c>
      <c r="M47" s="18"/>
      <c r="N47" s="18"/>
      <c r="O47" s="18"/>
    </row>
    <row r="48" customFormat="false" ht="15" hidden="false" customHeight="false" outlineLevel="0" collapsed="false">
      <c r="A48" s="18"/>
      <c r="B48" s="17"/>
      <c r="C48" s="18"/>
      <c r="D48" s="18"/>
      <c r="E48" s="18"/>
      <c r="F48" s="22"/>
      <c r="G48" s="22"/>
      <c r="H48" s="21" t="str">
        <f aca="false">IF(OR($F48="",$G48=""),"",$F48-$G48)</f>
        <v/>
      </c>
      <c r="I48" s="22"/>
      <c r="J48" s="18"/>
      <c r="K48" s="22"/>
      <c r="L48" s="21" t="str">
        <f aca="false">IF($G48="","",N($G48)-N($K48))</f>
        <v/>
      </c>
      <c r="M48" s="18"/>
      <c r="N48" s="18"/>
      <c r="O48" s="18"/>
    </row>
    <row r="49" customFormat="false" ht="15" hidden="false" customHeight="false" outlineLevel="0" collapsed="false">
      <c r="A49" s="18"/>
      <c r="B49" s="17"/>
      <c r="C49" s="18"/>
      <c r="D49" s="18"/>
      <c r="E49" s="18"/>
      <c r="F49" s="22"/>
      <c r="G49" s="22"/>
      <c r="H49" s="21" t="str">
        <f aca="false">IF(OR($F49="",$G49=""),"",$F49-$G49)</f>
        <v/>
      </c>
      <c r="I49" s="22"/>
      <c r="J49" s="18"/>
      <c r="K49" s="22"/>
      <c r="L49" s="21" t="str">
        <f aca="false">IF($G49="","",N($G49)-N($K49))</f>
        <v/>
      </c>
      <c r="M49" s="18"/>
      <c r="N49" s="18"/>
      <c r="O49" s="18"/>
    </row>
    <row r="50" customFormat="false" ht="15" hidden="false" customHeight="false" outlineLevel="0" collapsed="false">
      <c r="A50" s="18"/>
      <c r="B50" s="17"/>
      <c r="C50" s="18"/>
      <c r="D50" s="18"/>
      <c r="E50" s="18"/>
      <c r="F50" s="22"/>
      <c r="G50" s="22"/>
      <c r="H50" s="21" t="str">
        <f aca="false">IF(OR($F50="",$G50=""),"",$F50-$G50)</f>
        <v/>
      </c>
      <c r="I50" s="22"/>
      <c r="J50" s="18"/>
      <c r="K50" s="22"/>
      <c r="L50" s="21" t="str">
        <f aca="false">IF($G50="","",N($G50)-N($K50))</f>
        <v/>
      </c>
      <c r="M50" s="18"/>
      <c r="N50" s="18"/>
      <c r="O50" s="18"/>
    </row>
    <row r="51" customFormat="false" ht="15" hidden="false" customHeight="false" outlineLevel="0" collapsed="false">
      <c r="A51" s="18"/>
      <c r="B51" s="17"/>
      <c r="C51" s="18"/>
      <c r="D51" s="18"/>
      <c r="E51" s="18"/>
      <c r="F51" s="22"/>
      <c r="G51" s="22"/>
      <c r="H51" s="21" t="str">
        <f aca="false">IF(OR($F51="",$G51=""),"",$F51-$G51)</f>
        <v/>
      </c>
      <c r="I51" s="22"/>
      <c r="J51" s="18"/>
      <c r="K51" s="22"/>
      <c r="L51" s="21" t="str">
        <f aca="false">IF($G51="","",N($G51)-N($K51))</f>
        <v/>
      </c>
      <c r="M51" s="18"/>
      <c r="N51" s="18"/>
      <c r="O51" s="18"/>
    </row>
    <row r="52" customFormat="false" ht="15" hidden="false" customHeight="false" outlineLevel="0" collapsed="false">
      <c r="A52" s="18"/>
      <c r="B52" s="17"/>
      <c r="C52" s="18"/>
      <c r="D52" s="18"/>
      <c r="E52" s="18"/>
      <c r="F52" s="22"/>
      <c r="G52" s="22"/>
      <c r="H52" s="21" t="str">
        <f aca="false">IF(OR($F52="",$G52=""),"",$F52-$G52)</f>
        <v/>
      </c>
      <c r="I52" s="22"/>
      <c r="J52" s="18"/>
      <c r="K52" s="22"/>
      <c r="L52" s="21" t="str">
        <f aca="false">IF($G52="","",N($G52)-N($K52))</f>
        <v/>
      </c>
      <c r="M52" s="18"/>
      <c r="N52" s="18"/>
      <c r="O52" s="18"/>
    </row>
    <row r="53" customFormat="false" ht="15" hidden="false" customHeight="false" outlineLevel="0" collapsed="false">
      <c r="A53" s="18"/>
      <c r="B53" s="17"/>
      <c r="C53" s="18"/>
      <c r="D53" s="18"/>
      <c r="E53" s="18"/>
      <c r="F53" s="22"/>
      <c r="G53" s="22"/>
      <c r="H53" s="21" t="str">
        <f aca="false">IF(OR($F53="",$G53=""),"",$F53-$G53)</f>
        <v/>
      </c>
      <c r="I53" s="22"/>
      <c r="J53" s="18"/>
      <c r="K53" s="22"/>
      <c r="L53" s="21" t="str">
        <f aca="false">IF($G53="","",N($G53)-N($K53))</f>
        <v/>
      </c>
      <c r="M53" s="18"/>
      <c r="N53" s="18"/>
      <c r="O53" s="18"/>
    </row>
    <row r="54" customFormat="false" ht="15" hidden="false" customHeight="false" outlineLevel="0" collapsed="false">
      <c r="A54" s="18"/>
      <c r="B54" s="17"/>
      <c r="C54" s="18"/>
      <c r="D54" s="18"/>
      <c r="E54" s="18"/>
      <c r="F54" s="22"/>
      <c r="G54" s="22"/>
      <c r="H54" s="21" t="str">
        <f aca="false">IF(OR($F54="",$G54=""),"",$F54-$G54)</f>
        <v/>
      </c>
      <c r="I54" s="22"/>
      <c r="J54" s="18"/>
      <c r="K54" s="22"/>
      <c r="L54" s="21" t="str">
        <f aca="false">IF($G54="","",N($G54)-N($K54))</f>
        <v/>
      </c>
      <c r="M54" s="18"/>
      <c r="N54" s="18"/>
      <c r="O54" s="18"/>
    </row>
    <row r="55" customFormat="false" ht="15" hidden="false" customHeight="false" outlineLevel="0" collapsed="false">
      <c r="A55" s="18"/>
      <c r="B55" s="17"/>
      <c r="C55" s="18"/>
      <c r="D55" s="18"/>
      <c r="E55" s="18"/>
      <c r="F55" s="22"/>
      <c r="G55" s="22"/>
      <c r="H55" s="21" t="str">
        <f aca="false">IF(OR($F55="",$G55=""),"",$F55-$G55)</f>
        <v/>
      </c>
      <c r="I55" s="22"/>
      <c r="J55" s="18"/>
      <c r="K55" s="22"/>
      <c r="L55" s="21" t="str">
        <f aca="false">IF($G55="","",N($G55)-N($K55))</f>
        <v/>
      </c>
      <c r="M55" s="18"/>
      <c r="N55" s="18"/>
      <c r="O55" s="18"/>
    </row>
    <row r="56" customFormat="false" ht="15" hidden="false" customHeight="false" outlineLevel="0" collapsed="false">
      <c r="A56" s="18"/>
      <c r="B56" s="17"/>
      <c r="C56" s="18"/>
      <c r="D56" s="18"/>
      <c r="E56" s="18"/>
      <c r="F56" s="22"/>
      <c r="G56" s="22"/>
      <c r="H56" s="21" t="str">
        <f aca="false">IF(OR($F56="",$G56=""),"",$F56-$G56)</f>
        <v/>
      </c>
      <c r="I56" s="22"/>
      <c r="J56" s="18"/>
      <c r="K56" s="22"/>
      <c r="L56" s="21" t="str">
        <f aca="false">IF($G56="","",N($G56)-N($K56))</f>
        <v/>
      </c>
      <c r="M56" s="18"/>
      <c r="N56" s="18"/>
      <c r="O56" s="18"/>
    </row>
    <row r="57" customFormat="false" ht="15" hidden="false" customHeight="false" outlineLevel="0" collapsed="false">
      <c r="A57" s="18"/>
      <c r="B57" s="17"/>
      <c r="C57" s="18"/>
      <c r="D57" s="18"/>
      <c r="E57" s="18"/>
      <c r="F57" s="22"/>
      <c r="G57" s="22"/>
      <c r="H57" s="21" t="str">
        <f aca="false">IF(OR($F57="",$G57=""),"",$F57-$G57)</f>
        <v/>
      </c>
      <c r="I57" s="22"/>
      <c r="J57" s="18"/>
      <c r="K57" s="22"/>
      <c r="L57" s="21" t="str">
        <f aca="false">IF($G57="","",N($G57)-N($K57))</f>
        <v/>
      </c>
      <c r="M57" s="18"/>
      <c r="N57" s="18"/>
      <c r="O57" s="18"/>
    </row>
    <row r="58" customFormat="false" ht="15" hidden="false" customHeight="false" outlineLevel="0" collapsed="false">
      <c r="A58" s="18"/>
      <c r="B58" s="17"/>
      <c r="C58" s="18"/>
      <c r="D58" s="18"/>
      <c r="E58" s="18"/>
      <c r="F58" s="22"/>
      <c r="G58" s="22"/>
      <c r="H58" s="21" t="str">
        <f aca="false">IF(OR($F58="",$G58=""),"",$F58-$G58)</f>
        <v/>
      </c>
      <c r="I58" s="22"/>
      <c r="J58" s="18"/>
      <c r="K58" s="22"/>
      <c r="L58" s="21" t="str">
        <f aca="false">IF($G58="","",N($G58)-N($K58))</f>
        <v/>
      </c>
      <c r="M58" s="18"/>
      <c r="N58" s="18"/>
      <c r="O58" s="18"/>
    </row>
    <row r="59" customFormat="false" ht="15" hidden="false" customHeight="false" outlineLevel="0" collapsed="false">
      <c r="A59" s="18"/>
      <c r="B59" s="17"/>
      <c r="C59" s="18"/>
      <c r="D59" s="18"/>
      <c r="E59" s="18"/>
      <c r="F59" s="22"/>
      <c r="G59" s="22"/>
      <c r="H59" s="21" t="str">
        <f aca="false">IF(OR($F59="",$G59=""),"",$F59-$G59)</f>
        <v/>
      </c>
      <c r="I59" s="22"/>
      <c r="J59" s="18"/>
      <c r="K59" s="22"/>
      <c r="L59" s="21" t="str">
        <f aca="false">IF($G59="","",N($G59)-N($K59))</f>
        <v/>
      </c>
      <c r="M59" s="18"/>
      <c r="N59" s="18"/>
      <c r="O59" s="18"/>
    </row>
    <row r="60" customFormat="false" ht="15" hidden="false" customHeight="false" outlineLevel="0" collapsed="false">
      <c r="A60" s="18"/>
      <c r="B60" s="17"/>
      <c r="C60" s="18"/>
      <c r="D60" s="18"/>
      <c r="E60" s="18"/>
      <c r="F60" s="22"/>
      <c r="G60" s="22"/>
      <c r="H60" s="21" t="str">
        <f aca="false">IF(OR($F60="",$G60=""),"",$F60-$G60)</f>
        <v/>
      </c>
      <c r="I60" s="22"/>
      <c r="J60" s="18"/>
      <c r="K60" s="22"/>
      <c r="L60" s="21" t="str">
        <f aca="false">IF($G60="","",N($G60)-N($K60))</f>
        <v/>
      </c>
      <c r="M60" s="18"/>
      <c r="N60" s="18"/>
      <c r="O60" s="18"/>
    </row>
    <row r="61" customFormat="false" ht="15" hidden="false" customHeight="false" outlineLevel="0" collapsed="false">
      <c r="A61" s="18"/>
      <c r="B61" s="17"/>
      <c r="C61" s="18"/>
      <c r="D61" s="18"/>
      <c r="E61" s="18"/>
      <c r="F61" s="22"/>
      <c r="G61" s="22"/>
      <c r="H61" s="21" t="str">
        <f aca="false">IF(OR($F61="",$G61=""),"",$F61-$G61)</f>
        <v/>
      </c>
      <c r="I61" s="22"/>
      <c r="J61" s="18"/>
      <c r="K61" s="22"/>
      <c r="L61" s="21" t="str">
        <f aca="false">IF($G61="","",N($G61)-N($K61))</f>
        <v/>
      </c>
      <c r="M61" s="18"/>
      <c r="N61" s="18"/>
      <c r="O61" s="18"/>
    </row>
    <row r="62" customFormat="false" ht="15" hidden="false" customHeight="false" outlineLevel="0" collapsed="false">
      <c r="A62" s="18"/>
      <c r="B62" s="17"/>
      <c r="C62" s="18"/>
      <c r="D62" s="18"/>
      <c r="E62" s="18"/>
      <c r="F62" s="22"/>
      <c r="G62" s="22"/>
      <c r="H62" s="21" t="str">
        <f aca="false">IF(OR($F62="",$G62=""),"",$F62-$G62)</f>
        <v/>
      </c>
      <c r="I62" s="22"/>
      <c r="J62" s="18"/>
      <c r="K62" s="22"/>
      <c r="L62" s="21" t="str">
        <f aca="false">IF($G62="","",N($G62)-N($K62))</f>
        <v/>
      </c>
      <c r="M62" s="18"/>
      <c r="N62" s="18"/>
      <c r="O62" s="18"/>
    </row>
    <row r="63" customFormat="false" ht="15" hidden="false" customHeight="false" outlineLevel="0" collapsed="false">
      <c r="A63" s="18"/>
      <c r="B63" s="17"/>
      <c r="C63" s="18"/>
      <c r="D63" s="18"/>
      <c r="E63" s="18"/>
      <c r="F63" s="22"/>
      <c r="G63" s="22"/>
      <c r="H63" s="21" t="str">
        <f aca="false">IF(OR($F63="",$G63=""),"",$F63-$G63)</f>
        <v/>
      </c>
      <c r="I63" s="22"/>
      <c r="J63" s="18"/>
      <c r="K63" s="22"/>
      <c r="L63" s="21" t="str">
        <f aca="false">IF($G63="","",N($G63)-N($K63))</f>
        <v/>
      </c>
      <c r="M63" s="18"/>
      <c r="N63" s="18"/>
      <c r="O63" s="18"/>
    </row>
  </sheetData>
  <sheetProtection sheet="true" password="c7e9" objects="true" scenarios="true" sort="false" autoFilter="false"/>
  <mergeCells count="2">
    <mergeCell ref="A1:O1"/>
    <mergeCell ref="A2:O2"/>
  </mergeCells>
  <dataValidations count="3">
    <dataValidation allowBlank="true" errorStyle="stop" operator="between" showDropDown="false" showErrorMessage="false" showInputMessage="false" sqref="C4:C63" type="list">
      <formula1>SETTINGS!$R$5:$R$22</formula1>
      <formula2>0</formula2>
    </dataValidation>
    <dataValidation allowBlank="true" errorStyle="stop" operator="between" showDropDown="false" showErrorMessage="false" showInputMessage="false" sqref="J4:J63" type="list">
      <formula1>SETTINGS!$L$5:$L$11</formula1>
      <formula2>0</formula2>
    </dataValidation>
    <dataValidation allowBlank="true" errorStyle="stop" operator="between" showDropDown="false" showErrorMessage="false" showInputMessage="false" sqref="N4:N63" type="list">
      <formula1>SETTINGS!$S$5:$S$9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3"/>
    <col collapsed="false" customWidth="true" hidden="false" outlineLevel="0" max="5" min="5" style="0" width="26"/>
    <col collapsed="false" customWidth="true" hidden="false" outlineLevel="0" max="7" min="6" style="0" width="13"/>
    <col collapsed="false" customWidth="true" hidden="false" outlineLevel="0" max="9" min="8" style="0" width="16"/>
    <col collapsed="false" customWidth="true" hidden="false" outlineLevel="0" max="13" min="10" style="0" width="13"/>
    <col collapsed="false" customWidth="true" hidden="false" outlineLevel="0" max="14" min="14" style="0" width="24"/>
  </cols>
  <sheetData>
    <row r="1" customFormat="false" ht="30" hidden="false" customHeight="true" outlineLevel="0" collapsed="false">
      <c r="A1" s="1" t="s">
        <v>491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492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7.75" hidden="false" customHeight="true" outlineLevel="0" collapsed="false">
      <c r="A3" s="15" t="s">
        <v>493</v>
      </c>
      <c r="B3" s="15" t="s">
        <v>387</v>
      </c>
      <c r="C3" s="15" t="s">
        <v>494</v>
      </c>
      <c r="D3" s="15" t="s">
        <v>169</v>
      </c>
      <c r="E3" s="15" t="s">
        <v>495</v>
      </c>
      <c r="F3" s="15" t="s">
        <v>496</v>
      </c>
      <c r="G3" s="15" t="s">
        <v>497</v>
      </c>
      <c r="H3" s="15" t="s">
        <v>498</v>
      </c>
      <c r="I3" s="15" t="s">
        <v>499</v>
      </c>
      <c r="J3" s="15" t="s">
        <v>500</v>
      </c>
      <c r="K3" s="15" t="s">
        <v>501</v>
      </c>
      <c r="L3" s="15" t="s">
        <v>502</v>
      </c>
      <c r="M3" s="15" t="s">
        <v>503</v>
      </c>
      <c r="N3" s="15" t="s">
        <v>221</v>
      </c>
    </row>
    <row r="4" customFormat="false" ht="23.85" hidden="false" customHeight="false" outlineLevel="0" collapsed="false">
      <c r="A4" s="18" t="s">
        <v>504</v>
      </c>
      <c r="B4" s="17" t="n">
        <v>46058</v>
      </c>
      <c r="C4" s="36" t="n">
        <v>0.604166666666667</v>
      </c>
      <c r="D4" s="18" t="s">
        <v>296</v>
      </c>
      <c r="E4" s="24" t="str">
        <f aca="false">IF($D4="","",IFERROR(INDEX('INVENTORY MASTER'!$K$4:$K$63,MATCH($D4,'INVENTORY MASTER'!$A$4:$A$63,0)),""))</f>
        <v>Cartier Santos Medium steel</v>
      </c>
      <c r="F4" s="18" t="s">
        <v>240</v>
      </c>
      <c r="G4" s="18" t="s">
        <v>101</v>
      </c>
      <c r="H4" s="18" t="s">
        <v>101</v>
      </c>
      <c r="I4" s="18" t="s">
        <v>62</v>
      </c>
      <c r="J4" s="18" t="s">
        <v>505</v>
      </c>
      <c r="K4" s="17" t="n">
        <v>46065</v>
      </c>
      <c r="L4" s="17"/>
      <c r="M4" s="18" t="s">
        <v>275</v>
      </c>
      <c r="N4" s="18" t="s">
        <v>506</v>
      </c>
    </row>
    <row r="5" customFormat="false" ht="23.85" hidden="false" customHeight="false" outlineLevel="0" collapsed="false">
      <c r="A5" s="18" t="s">
        <v>507</v>
      </c>
      <c r="B5" s="17" t="n">
        <v>46063</v>
      </c>
      <c r="C5" s="36" t="n">
        <v>0.458333333333333</v>
      </c>
      <c r="D5" s="18" t="s">
        <v>222</v>
      </c>
      <c r="E5" s="24" t="str">
        <f aca="false">IF($D5="","",IFERROR(INDEX('INVENTORY MASTER'!$K$4:$K$63,MATCH($D5,'INVENTORY MASTER'!$A$4:$A$63,0)),""))</f>
        <v>Rolex Submariner Date 41mm, black dial</v>
      </c>
      <c r="F5" s="18" t="s">
        <v>240</v>
      </c>
      <c r="G5" s="18" t="s">
        <v>508</v>
      </c>
      <c r="H5" s="18" t="s">
        <v>509</v>
      </c>
      <c r="I5" s="18" t="s">
        <v>62</v>
      </c>
      <c r="J5" s="18" t="s">
        <v>510</v>
      </c>
      <c r="K5" s="17"/>
      <c r="L5" s="17" t="n">
        <v>46063</v>
      </c>
      <c r="M5" s="18" t="s">
        <v>511</v>
      </c>
      <c r="N5" s="18" t="s">
        <v>512</v>
      </c>
    </row>
    <row r="6" customFormat="false" ht="15" hidden="false" customHeight="false" outlineLevel="0" collapsed="false">
      <c r="A6" s="18"/>
      <c r="B6" s="17"/>
      <c r="C6" s="36"/>
      <c r="D6" s="18"/>
      <c r="E6" s="24" t="str">
        <f aca="false">IF($D6="","",IFERROR(INDEX('INVENTORY MASTER'!$K$4:$K$63,MATCH($D6,'INVENTORY MASTER'!$A$4:$A$63,0)),""))</f>
        <v/>
      </c>
      <c r="F6" s="18"/>
      <c r="G6" s="18"/>
      <c r="H6" s="18"/>
      <c r="I6" s="18"/>
      <c r="J6" s="18"/>
      <c r="K6" s="17"/>
      <c r="L6" s="17"/>
      <c r="M6" s="18"/>
      <c r="N6" s="18"/>
    </row>
    <row r="7" customFormat="false" ht="15" hidden="false" customHeight="false" outlineLevel="0" collapsed="false">
      <c r="A7" s="18"/>
      <c r="B7" s="17"/>
      <c r="C7" s="36"/>
      <c r="D7" s="18"/>
      <c r="E7" s="24" t="str">
        <f aca="false">IF($D7="","",IFERROR(INDEX('INVENTORY MASTER'!$K$4:$K$63,MATCH($D7,'INVENTORY MASTER'!$A$4:$A$63,0)),""))</f>
        <v/>
      </c>
      <c r="F7" s="18"/>
      <c r="G7" s="18"/>
      <c r="H7" s="18"/>
      <c r="I7" s="18"/>
      <c r="J7" s="18"/>
      <c r="K7" s="17"/>
      <c r="L7" s="17"/>
      <c r="M7" s="18"/>
      <c r="N7" s="18"/>
    </row>
    <row r="8" customFormat="false" ht="15" hidden="false" customHeight="false" outlineLevel="0" collapsed="false">
      <c r="A8" s="18"/>
      <c r="B8" s="17"/>
      <c r="C8" s="36"/>
      <c r="D8" s="18"/>
      <c r="E8" s="24" t="str">
        <f aca="false">IF($D8="","",IFERROR(INDEX('INVENTORY MASTER'!$K$4:$K$63,MATCH($D8,'INVENTORY MASTER'!$A$4:$A$63,0)),""))</f>
        <v/>
      </c>
      <c r="F8" s="18"/>
      <c r="G8" s="18"/>
      <c r="H8" s="18"/>
      <c r="I8" s="18"/>
      <c r="J8" s="18"/>
      <c r="K8" s="17"/>
      <c r="L8" s="17"/>
      <c r="M8" s="18"/>
      <c r="N8" s="18"/>
    </row>
    <row r="9" customFormat="false" ht="15" hidden="false" customHeight="false" outlineLevel="0" collapsed="false">
      <c r="A9" s="18"/>
      <c r="B9" s="17"/>
      <c r="C9" s="36"/>
      <c r="D9" s="18"/>
      <c r="E9" s="24" t="str">
        <f aca="false">IF($D9="","",IFERROR(INDEX('INVENTORY MASTER'!$K$4:$K$63,MATCH($D9,'INVENTORY MASTER'!$A$4:$A$63,0)),""))</f>
        <v/>
      </c>
      <c r="F9" s="18"/>
      <c r="G9" s="18"/>
      <c r="H9" s="18"/>
      <c r="I9" s="18"/>
      <c r="J9" s="18"/>
      <c r="K9" s="17"/>
      <c r="L9" s="17"/>
      <c r="M9" s="18"/>
      <c r="N9" s="18"/>
    </row>
    <row r="10" customFormat="false" ht="15" hidden="false" customHeight="false" outlineLevel="0" collapsed="false">
      <c r="A10" s="18"/>
      <c r="B10" s="17"/>
      <c r="C10" s="36"/>
      <c r="D10" s="18"/>
      <c r="E10" s="24" t="str">
        <f aca="false">IF($D10="","",IFERROR(INDEX('INVENTORY MASTER'!$K$4:$K$63,MATCH($D10,'INVENTORY MASTER'!$A$4:$A$63,0)),""))</f>
        <v/>
      </c>
      <c r="F10" s="18"/>
      <c r="G10" s="18"/>
      <c r="H10" s="18"/>
      <c r="I10" s="18"/>
      <c r="J10" s="18"/>
      <c r="K10" s="17"/>
      <c r="L10" s="17"/>
      <c r="M10" s="18"/>
      <c r="N10" s="18"/>
    </row>
    <row r="11" customFormat="false" ht="15" hidden="false" customHeight="false" outlineLevel="0" collapsed="false">
      <c r="A11" s="18"/>
      <c r="B11" s="17"/>
      <c r="C11" s="36"/>
      <c r="D11" s="18"/>
      <c r="E11" s="24" t="str">
        <f aca="false">IF($D11="","",IFERROR(INDEX('INVENTORY MASTER'!$K$4:$K$63,MATCH($D11,'INVENTORY MASTER'!$A$4:$A$63,0)),""))</f>
        <v/>
      </c>
      <c r="F11" s="18"/>
      <c r="G11" s="18"/>
      <c r="H11" s="18"/>
      <c r="I11" s="18"/>
      <c r="J11" s="18"/>
      <c r="K11" s="17"/>
      <c r="L11" s="17"/>
      <c r="M11" s="18"/>
      <c r="N11" s="18"/>
    </row>
    <row r="12" customFormat="false" ht="15" hidden="false" customHeight="false" outlineLevel="0" collapsed="false">
      <c r="A12" s="18"/>
      <c r="B12" s="17"/>
      <c r="C12" s="36"/>
      <c r="D12" s="18"/>
      <c r="E12" s="24" t="str">
        <f aca="false">IF($D12="","",IFERROR(INDEX('INVENTORY MASTER'!$K$4:$K$63,MATCH($D12,'INVENTORY MASTER'!$A$4:$A$63,0)),""))</f>
        <v/>
      </c>
      <c r="F12" s="18"/>
      <c r="G12" s="18"/>
      <c r="H12" s="18"/>
      <c r="I12" s="18"/>
      <c r="J12" s="18"/>
      <c r="K12" s="17"/>
      <c r="L12" s="17"/>
      <c r="M12" s="18"/>
      <c r="N12" s="18"/>
    </row>
    <row r="13" customFormat="false" ht="15" hidden="false" customHeight="false" outlineLevel="0" collapsed="false">
      <c r="A13" s="18"/>
      <c r="B13" s="17"/>
      <c r="C13" s="36"/>
      <c r="D13" s="18"/>
      <c r="E13" s="24" t="str">
        <f aca="false">IF($D13="","",IFERROR(INDEX('INVENTORY MASTER'!$K$4:$K$63,MATCH($D13,'INVENTORY MASTER'!$A$4:$A$63,0)),""))</f>
        <v/>
      </c>
      <c r="F13" s="18"/>
      <c r="G13" s="18"/>
      <c r="H13" s="18"/>
      <c r="I13" s="18"/>
      <c r="J13" s="18"/>
      <c r="K13" s="17"/>
      <c r="L13" s="17"/>
      <c r="M13" s="18"/>
      <c r="N13" s="18"/>
    </row>
    <row r="14" customFormat="false" ht="15" hidden="false" customHeight="false" outlineLevel="0" collapsed="false">
      <c r="A14" s="18"/>
      <c r="B14" s="17"/>
      <c r="C14" s="36"/>
      <c r="D14" s="18"/>
      <c r="E14" s="24" t="str">
        <f aca="false">IF($D14="","",IFERROR(INDEX('INVENTORY MASTER'!$K$4:$K$63,MATCH($D14,'INVENTORY MASTER'!$A$4:$A$63,0)),""))</f>
        <v/>
      </c>
      <c r="F14" s="18"/>
      <c r="G14" s="18"/>
      <c r="H14" s="18"/>
      <c r="I14" s="18"/>
      <c r="J14" s="18"/>
      <c r="K14" s="17"/>
      <c r="L14" s="17"/>
      <c r="M14" s="18"/>
      <c r="N14" s="18"/>
    </row>
    <row r="15" customFormat="false" ht="15" hidden="false" customHeight="false" outlineLevel="0" collapsed="false">
      <c r="A15" s="18"/>
      <c r="B15" s="17"/>
      <c r="C15" s="36"/>
      <c r="D15" s="18"/>
      <c r="E15" s="24" t="str">
        <f aca="false">IF($D15="","",IFERROR(INDEX('INVENTORY MASTER'!$K$4:$K$63,MATCH($D15,'INVENTORY MASTER'!$A$4:$A$63,0)),""))</f>
        <v/>
      </c>
      <c r="F15" s="18"/>
      <c r="G15" s="18"/>
      <c r="H15" s="18"/>
      <c r="I15" s="18"/>
      <c r="J15" s="18"/>
      <c r="K15" s="17"/>
      <c r="L15" s="17"/>
      <c r="M15" s="18"/>
      <c r="N15" s="18"/>
    </row>
    <row r="16" customFormat="false" ht="15" hidden="false" customHeight="false" outlineLevel="0" collapsed="false">
      <c r="A16" s="18"/>
      <c r="B16" s="17"/>
      <c r="C16" s="36"/>
      <c r="D16" s="18"/>
      <c r="E16" s="24" t="str">
        <f aca="false">IF($D16="","",IFERROR(INDEX('INVENTORY MASTER'!$K$4:$K$63,MATCH($D16,'INVENTORY MASTER'!$A$4:$A$63,0)),""))</f>
        <v/>
      </c>
      <c r="F16" s="18"/>
      <c r="G16" s="18"/>
      <c r="H16" s="18"/>
      <c r="I16" s="18"/>
      <c r="J16" s="18"/>
      <c r="K16" s="17"/>
      <c r="L16" s="17"/>
      <c r="M16" s="18"/>
      <c r="N16" s="18"/>
    </row>
    <row r="17" customFormat="false" ht="15" hidden="false" customHeight="false" outlineLevel="0" collapsed="false">
      <c r="A17" s="18"/>
      <c r="B17" s="17"/>
      <c r="C17" s="36"/>
      <c r="D17" s="18"/>
      <c r="E17" s="24" t="str">
        <f aca="false">IF($D17="","",IFERROR(INDEX('INVENTORY MASTER'!$K$4:$K$63,MATCH($D17,'INVENTORY MASTER'!$A$4:$A$63,0)),""))</f>
        <v/>
      </c>
      <c r="F17" s="18"/>
      <c r="G17" s="18"/>
      <c r="H17" s="18"/>
      <c r="I17" s="18"/>
      <c r="J17" s="18"/>
      <c r="K17" s="17"/>
      <c r="L17" s="17"/>
      <c r="M17" s="18"/>
      <c r="N17" s="18"/>
    </row>
    <row r="18" customFormat="false" ht="15" hidden="false" customHeight="false" outlineLevel="0" collapsed="false">
      <c r="A18" s="18"/>
      <c r="B18" s="17"/>
      <c r="C18" s="36"/>
      <c r="D18" s="18"/>
      <c r="E18" s="24" t="str">
        <f aca="false">IF($D18="","",IFERROR(INDEX('INVENTORY MASTER'!$K$4:$K$63,MATCH($D18,'INVENTORY MASTER'!$A$4:$A$63,0)),""))</f>
        <v/>
      </c>
      <c r="F18" s="18"/>
      <c r="G18" s="18"/>
      <c r="H18" s="18"/>
      <c r="I18" s="18"/>
      <c r="J18" s="18"/>
      <c r="K18" s="17"/>
      <c r="L18" s="17"/>
      <c r="M18" s="18"/>
      <c r="N18" s="18"/>
    </row>
    <row r="19" customFormat="false" ht="15" hidden="false" customHeight="false" outlineLevel="0" collapsed="false">
      <c r="A19" s="18"/>
      <c r="B19" s="17"/>
      <c r="C19" s="36"/>
      <c r="D19" s="18"/>
      <c r="E19" s="24" t="str">
        <f aca="false">IF($D19="","",IFERROR(INDEX('INVENTORY MASTER'!$K$4:$K$63,MATCH($D19,'INVENTORY MASTER'!$A$4:$A$63,0)),""))</f>
        <v/>
      </c>
      <c r="F19" s="18"/>
      <c r="G19" s="18"/>
      <c r="H19" s="18"/>
      <c r="I19" s="18"/>
      <c r="J19" s="18"/>
      <c r="K19" s="17"/>
      <c r="L19" s="17"/>
      <c r="M19" s="18"/>
      <c r="N19" s="18"/>
    </row>
    <row r="20" customFormat="false" ht="15" hidden="false" customHeight="false" outlineLevel="0" collapsed="false">
      <c r="A20" s="18"/>
      <c r="B20" s="17"/>
      <c r="C20" s="36"/>
      <c r="D20" s="18"/>
      <c r="E20" s="24" t="str">
        <f aca="false">IF($D20="","",IFERROR(INDEX('INVENTORY MASTER'!$K$4:$K$63,MATCH($D20,'INVENTORY MASTER'!$A$4:$A$63,0)),""))</f>
        <v/>
      </c>
      <c r="F20" s="18"/>
      <c r="G20" s="18"/>
      <c r="H20" s="18"/>
      <c r="I20" s="18"/>
      <c r="J20" s="18"/>
      <c r="K20" s="17"/>
      <c r="L20" s="17"/>
      <c r="M20" s="18"/>
      <c r="N20" s="18"/>
    </row>
    <row r="21" customFormat="false" ht="15" hidden="false" customHeight="false" outlineLevel="0" collapsed="false">
      <c r="A21" s="18"/>
      <c r="B21" s="17"/>
      <c r="C21" s="36"/>
      <c r="D21" s="18"/>
      <c r="E21" s="24" t="str">
        <f aca="false">IF($D21="","",IFERROR(INDEX('INVENTORY MASTER'!$K$4:$K$63,MATCH($D21,'INVENTORY MASTER'!$A$4:$A$63,0)),""))</f>
        <v/>
      </c>
      <c r="F21" s="18"/>
      <c r="G21" s="18"/>
      <c r="H21" s="18"/>
      <c r="I21" s="18"/>
      <c r="J21" s="18"/>
      <c r="K21" s="17"/>
      <c r="L21" s="17"/>
      <c r="M21" s="18"/>
      <c r="N21" s="18"/>
    </row>
    <row r="22" customFormat="false" ht="15" hidden="false" customHeight="false" outlineLevel="0" collapsed="false">
      <c r="A22" s="18"/>
      <c r="B22" s="17"/>
      <c r="C22" s="36"/>
      <c r="D22" s="18"/>
      <c r="E22" s="24" t="str">
        <f aca="false">IF($D22="","",IFERROR(INDEX('INVENTORY MASTER'!$K$4:$K$63,MATCH($D22,'INVENTORY MASTER'!$A$4:$A$63,0)),""))</f>
        <v/>
      </c>
      <c r="F22" s="18"/>
      <c r="G22" s="18"/>
      <c r="H22" s="18"/>
      <c r="I22" s="18"/>
      <c r="J22" s="18"/>
      <c r="K22" s="17"/>
      <c r="L22" s="17"/>
      <c r="M22" s="18"/>
      <c r="N22" s="18"/>
    </row>
    <row r="23" customFormat="false" ht="15" hidden="false" customHeight="false" outlineLevel="0" collapsed="false">
      <c r="A23" s="18"/>
      <c r="B23" s="17"/>
      <c r="C23" s="36"/>
      <c r="D23" s="18"/>
      <c r="E23" s="24" t="str">
        <f aca="false">IF($D23="","",IFERROR(INDEX('INVENTORY MASTER'!$K$4:$K$63,MATCH($D23,'INVENTORY MASTER'!$A$4:$A$63,0)),""))</f>
        <v/>
      </c>
      <c r="F23" s="18"/>
      <c r="G23" s="18"/>
      <c r="H23" s="18"/>
      <c r="I23" s="18"/>
      <c r="J23" s="18"/>
      <c r="K23" s="17"/>
      <c r="L23" s="17"/>
      <c r="M23" s="18"/>
      <c r="N23" s="18"/>
    </row>
    <row r="24" customFormat="false" ht="15" hidden="false" customHeight="false" outlineLevel="0" collapsed="false">
      <c r="A24" s="18"/>
      <c r="B24" s="17"/>
      <c r="C24" s="36"/>
      <c r="D24" s="18"/>
      <c r="E24" s="24" t="str">
        <f aca="false">IF($D24="","",IFERROR(INDEX('INVENTORY MASTER'!$K$4:$K$63,MATCH($D24,'INVENTORY MASTER'!$A$4:$A$63,0)),""))</f>
        <v/>
      </c>
      <c r="F24" s="18"/>
      <c r="G24" s="18"/>
      <c r="H24" s="18"/>
      <c r="I24" s="18"/>
      <c r="J24" s="18"/>
      <c r="K24" s="17"/>
      <c r="L24" s="17"/>
      <c r="M24" s="18"/>
      <c r="N24" s="18"/>
    </row>
    <row r="25" customFormat="false" ht="15" hidden="false" customHeight="false" outlineLevel="0" collapsed="false">
      <c r="A25" s="18"/>
      <c r="B25" s="17"/>
      <c r="C25" s="36"/>
      <c r="D25" s="18"/>
      <c r="E25" s="24" t="str">
        <f aca="false">IF($D25="","",IFERROR(INDEX('INVENTORY MASTER'!$K$4:$K$63,MATCH($D25,'INVENTORY MASTER'!$A$4:$A$63,0)),""))</f>
        <v/>
      </c>
      <c r="F25" s="18"/>
      <c r="G25" s="18"/>
      <c r="H25" s="18"/>
      <c r="I25" s="18"/>
      <c r="J25" s="18"/>
      <c r="K25" s="17"/>
      <c r="L25" s="17"/>
      <c r="M25" s="18"/>
      <c r="N25" s="18"/>
    </row>
    <row r="26" customFormat="false" ht="15" hidden="false" customHeight="false" outlineLevel="0" collapsed="false">
      <c r="A26" s="18"/>
      <c r="B26" s="17"/>
      <c r="C26" s="36"/>
      <c r="D26" s="18"/>
      <c r="E26" s="24" t="str">
        <f aca="false">IF($D26="","",IFERROR(INDEX('INVENTORY MASTER'!$K$4:$K$63,MATCH($D26,'INVENTORY MASTER'!$A$4:$A$63,0)),""))</f>
        <v/>
      </c>
      <c r="F26" s="18"/>
      <c r="G26" s="18"/>
      <c r="H26" s="18"/>
      <c r="I26" s="18"/>
      <c r="J26" s="18"/>
      <c r="K26" s="17"/>
      <c r="L26" s="17"/>
      <c r="M26" s="18"/>
      <c r="N26" s="18"/>
    </row>
    <row r="27" customFormat="false" ht="15" hidden="false" customHeight="false" outlineLevel="0" collapsed="false">
      <c r="A27" s="18"/>
      <c r="B27" s="17"/>
      <c r="C27" s="36"/>
      <c r="D27" s="18"/>
      <c r="E27" s="24" t="str">
        <f aca="false">IF($D27="","",IFERROR(INDEX('INVENTORY MASTER'!$K$4:$K$63,MATCH($D27,'INVENTORY MASTER'!$A$4:$A$63,0)),""))</f>
        <v/>
      </c>
      <c r="F27" s="18"/>
      <c r="G27" s="18"/>
      <c r="H27" s="18"/>
      <c r="I27" s="18"/>
      <c r="J27" s="18"/>
      <c r="K27" s="17"/>
      <c r="L27" s="17"/>
      <c r="M27" s="18"/>
      <c r="N27" s="18"/>
    </row>
    <row r="28" customFormat="false" ht="15" hidden="false" customHeight="false" outlineLevel="0" collapsed="false">
      <c r="A28" s="18"/>
      <c r="B28" s="17"/>
      <c r="C28" s="36"/>
      <c r="D28" s="18"/>
      <c r="E28" s="24" t="str">
        <f aca="false">IF($D28="","",IFERROR(INDEX('INVENTORY MASTER'!$K$4:$K$63,MATCH($D28,'INVENTORY MASTER'!$A$4:$A$63,0)),""))</f>
        <v/>
      </c>
      <c r="F28" s="18"/>
      <c r="G28" s="18"/>
      <c r="H28" s="18"/>
      <c r="I28" s="18"/>
      <c r="J28" s="18"/>
      <c r="K28" s="17"/>
      <c r="L28" s="17"/>
      <c r="M28" s="18"/>
      <c r="N28" s="18"/>
    </row>
    <row r="29" customFormat="false" ht="15" hidden="false" customHeight="false" outlineLevel="0" collapsed="false">
      <c r="A29" s="18"/>
      <c r="B29" s="17"/>
      <c r="C29" s="36"/>
      <c r="D29" s="18"/>
      <c r="E29" s="24" t="str">
        <f aca="false">IF($D29="","",IFERROR(INDEX('INVENTORY MASTER'!$K$4:$K$63,MATCH($D29,'INVENTORY MASTER'!$A$4:$A$63,0)),""))</f>
        <v/>
      </c>
      <c r="F29" s="18"/>
      <c r="G29" s="18"/>
      <c r="H29" s="18"/>
      <c r="I29" s="18"/>
      <c r="J29" s="18"/>
      <c r="K29" s="17"/>
      <c r="L29" s="17"/>
      <c r="M29" s="18"/>
      <c r="N29" s="18"/>
    </row>
    <row r="30" customFormat="false" ht="15" hidden="false" customHeight="false" outlineLevel="0" collapsed="false">
      <c r="A30" s="18"/>
      <c r="B30" s="17"/>
      <c r="C30" s="36"/>
      <c r="D30" s="18"/>
      <c r="E30" s="24" t="str">
        <f aca="false">IF($D30="","",IFERROR(INDEX('INVENTORY MASTER'!$K$4:$K$63,MATCH($D30,'INVENTORY MASTER'!$A$4:$A$63,0)),""))</f>
        <v/>
      </c>
      <c r="F30" s="18"/>
      <c r="G30" s="18"/>
      <c r="H30" s="18"/>
      <c r="I30" s="18"/>
      <c r="J30" s="18"/>
      <c r="K30" s="17"/>
      <c r="L30" s="17"/>
      <c r="M30" s="18"/>
      <c r="N30" s="18"/>
    </row>
    <row r="31" customFormat="false" ht="15" hidden="false" customHeight="false" outlineLevel="0" collapsed="false">
      <c r="A31" s="18"/>
      <c r="B31" s="17"/>
      <c r="C31" s="36"/>
      <c r="D31" s="18"/>
      <c r="E31" s="24" t="str">
        <f aca="false">IF($D31="","",IFERROR(INDEX('INVENTORY MASTER'!$K$4:$K$63,MATCH($D31,'INVENTORY MASTER'!$A$4:$A$63,0)),""))</f>
        <v/>
      </c>
      <c r="F31" s="18"/>
      <c r="G31" s="18"/>
      <c r="H31" s="18"/>
      <c r="I31" s="18"/>
      <c r="J31" s="18"/>
      <c r="K31" s="17"/>
      <c r="L31" s="17"/>
      <c r="M31" s="18"/>
      <c r="N31" s="18"/>
    </row>
    <row r="32" customFormat="false" ht="15" hidden="false" customHeight="false" outlineLevel="0" collapsed="false">
      <c r="A32" s="18"/>
      <c r="B32" s="17"/>
      <c r="C32" s="36"/>
      <c r="D32" s="18"/>
      <c r="E32" s="24" t="str">
        <f aca="false">IF($D32="","",IFERROR(INDEX('INVENTORY MASTER'!$K$4:$K$63,MATCH($D32,'INVENTORY MASTER'!$A$4:$A$63,0)),""))</f>
        <v/>
      </c>
      <c r="F32" s="18"/>
      <c r="G32" s="18"/>
      <c r="H32" s="18"/>
      <c r="I32" s="18"/>
      <c r="J32" s="18"/>
      <c r="K32" s="17"/>
      <c r="L32" s="17"/>
      <c r="M32" s="18"/>
      <c r="N32" s="18"/>
    </row>
    <row r="33" customFormat="false" ht="15" hidden="false" customHeight="false" outlineLevel="0" collapsed="false">
      <c r="A33" s="18"/>
      <c r="B33" s="17"/>
      <c r="C33" s="36"/>
      <c r="D33" s="18"/>
      <c r="E33" s="24" t="str">
        <f aca="false">IF($D33="","",IFERROR(INDEX('INVENTORY MASTER'!$K$4:$K$63,MATCH($D33,'INVENTORY MASTER'!$A$4:$A$63,0)),""))</f>
        <v/>
      </c>
      <c r="F33" s="18"/>
      <c r="G33" s="18"/>
      <c r="H33" s="18"/>
      <c r="I33" s="18"/>
      <c r="J33" s="18"/>
      <c r="K33" s="17"/>
      <c r="L33" s="17"/>
      <c r="M33" s="18"/>
      <c r="N33" s="18"/>
    </row>
    <row r="34" customFormat="false" ht="15" hidden="false" customHeight="false" outlineLevel="0" collapsed="false">
      <c r="A34" s="18"/>
      <c r="B34" s="17"/>
      <c r="C34" s="36"/>
      <c r="D34" s="18"/>
      <c r="E34" s="24" t="str">
        <f aca="false">IF($D34="","",IFERROR(INDEX('INVENTORY MASTER'!$K$4:$K$63,MATCH($D34,'INVENTORY MASTER'!$A$4:$A$63,0)),""))</f>
        <v/>
      </c>
      <c r="F34" s="18"/>
      <c r="G34" s="18"/>
      <c r="H34" s="18"/>
      <c r="I34" s="18"/>
      <c r="J34" s="18"/>
      <c r="K34" s="17"/>
      <c r="L34" s="17"/>
      <c r="M34" s="18"/>
      <c r="N34" s="18"/>
    </row>
    <row r="35" customFormat="false" ht="15" hidden="false" customHeight="false" outlineLevel="0" collapsed="false">
      <c r="A35" s="18"/>
      <c r="B35" s="17"/>
      <c r="C35" s="36"/>
      <c r="D35" s="18"/>
      <c r="E35" s="24" t="str">
        <f aca="false">IF($D35="","",IFERROR(INDEX('INVENTORY MASTER'!$K$4:$K$63,MATCH($D35,'INVENTORY MASTER'!$A$4:$A$63,0)),""))</f>
        <v/>
      </c>
      <c r="F35" s="18"/>
      <c r="G35" s="18"/>
      <c r="H35" s="18"/>
      <c r="I35" s="18"/>
      <c r="J35" s="18"/>
      <c r="K35" s="17"/>
      <c r="L35" s="17"/>
      <c r="M35" s="18"/>
      <c r="N35" s="18"/>
    </row>
    <row r="36" customFormat="false" ht="15" hidden="false" customHeight="false" outlineLevel="0" collapsed="false">
      <c r="A36" s="18"/>
      <c r="B36" s="17"/>
      <c r="C36" s="36"/>
      <c r="D36" s="18"/>
      <c r="E36" s="24" t="str">
        <f aca="false">IF($D36="","",IFERROR(INDEX('INVENTORY MASTER'!$K$4:$K$63,MATCH($D36,'INVENTORY MASTER'!$A$4:$A$63,0)),""))</f>
        <v/>
      </c>
      <c r="F36" s="18"/>
      <c r="G36" s="18"/>
      <c r="H36" s="18"/>
      <c r="I36" s="18"/>
      <c r="J36" s="18"/>
      <c r="K36" s="17"/>
      <c r="L36" s="17"/>
      <c r="M36" s="18"/>
      <c r="N36" s="18"/>
    </row>
    <row r="37" customFormat="false" ht="15" hidden="false" customHeight="false" outlineLevel="0" collapsed="false">
      <c r="A37" s="18"/>
      <c r="B37" s="17"/>
      <c r="C37" s="36"/>
      <c r="D37" s="18"/>
      <c r="E37" s="24" t="str">
        <f aca="false">IF($D37="","",IFERROR(INDEX('INVENTORY MASTER'!$K$4:$K$63,MATCH($D37,'INVENTORY MASTER'!$A$4:$A$63,0)),""))</f>
        <v/>
      </c>
      <c r="F37" s="18"/>
      <c r="G37" s="18"/>
      <c r="H37" s="18"/>
      <c r="I37" s="18"/>
      <c r="J37" s="18"/>
      <c r="K37" s="17"/>
      <c r="L37" s="17"/>
      <c r="M37" s="18"/>
      <c r="N37" s="18"/>
    </row>
    <row r="38" customFormat="false" ht="15" hidden="false" customHeight="false" outlineLevel="0" collapsed="false">
      <c r="A38" s="18"/>
      <c r="B38" s="17"/>
      <c r="C38" s="36"/>
      <c r="D38" s="18"/>
      <c r="E38" s="24" t="str">
        <f aca="false">IF($D38="","",IFERROR(INDEX('INVENTORY MASTER'!$K$4:$K$63,MATCH($D38,'INVENTORY MASTER'!$A$4:$A$63,0)),""))</f>
        <v/>
      </c>
      <c r="F38" s="18"/>
      <c r="G38" s="18"/>
      <c r="H38" s="18"/>
      <c r="I38" s="18"/>
      <c r="J38" s="18"/>
      <c r="K38" s="17"/>
      <c r="L38" s="17"/>
      <c r="M38" s="18"/>
      <c r="N38" s="18"/>
    </row>
    <row r="39" customFormat="false" ht="15" hidden="false" customHeight="false" outlineLevel="0" collapsed="false">
      <c r="A39" s="18"/>
      <c r="B39" s="17"/>
      <c r="C39" s="36"/>
      <c r="D39" s="18"/>
      <c r="E39" s="24" t="str">
        <f aca="false">IF($D39="","",IFERROR(INDEX('INVENTORY MASTER'!$K$4:$K$63,MATCH($D39,'INVENTORY MASTER'!$A$4:$A$63,0)),""))</f>
        <v/>
      </c>
      <c r="F39" s="18"/>
      <c r="G39" s="18"/>
      <c r="H39" s="18"/>
      <c r="I39" s="18"/>
      <c r="J39" s="18"/>
      <c r="K39" s="17"/>
      <c r="L39" s="17"/>
      <c r="M39" s="18"/>
      <c r="N39" s="18"/>
    </row>
    <row r="40" customFormat="false" ht="15" hidden="false" customHeight="false" outlineLevel="0" collapsed="false">
      <c r="A40" s="18"/>
      <c r="B40" s="17"/>
      <c r="C40" s="36"/>
      <c r="D40" s="18"/>
      <c r="E40" s="24" t="str">
        <f aca="false">IF($D40="","",IFERROR(INDEX('INVENTORY MASTER'!$K$4:$K$63,MATCH($D40,'INVENTORY MASTER'!$A$4:$A$63,0)),""))</f>
        <v/>
      </c>
      <c r="F40" s="18"/>
      <c r="G40" s="18"/>
      <c r="H40" s="18"/>
      <c r="I40" s="18"/>
      <c r="J40" s="18"/>
      <c r="K40" s="17"/>
      <c r="L40" s="17"/>
      <c r="M40" s="18"/>
      <c r="N40" s="18"/>
    </row>
    <row r="41" customFormat="false" ht="15" hidden="false" customHeight="false" outlineLevel="0" collapsed="false">
      <c r="A41" s="18"/>
      <c r="B41" s="17"/>
      <c r="C41" s="36"/>
      <c r="D41" s="18"/>
      <c r="E41" s="24" t="str">
        <f aca="false">IF($D41="","",IFERROR(INDEX('INVENTORY MASTER'!$K$4:$K$63,MATCH($D41,'INVENTORY MASTER'!$A$4:$A$63,0)),""))</f>
        <v/>
      </c>
      <c r="F41" s="18"/>
      <c r="G41" s="18"/>
      <c r="H41" s="18"/>
      <c r="I41" s="18"/>
      <c r="J41" s="18"/>
      <c r="K41" s="17"/>
      <c r="L41" s="17"/>
      <c r="M41" s="18"/>
      <c r="N41" s="18"/>
    </row>
    <row r="42" customFormat="false" ht="15" hidden="false" customHeight="false" outlineLevel="0" collapsed="false">
      <c r="A42" s="18"/>
      <c r="B42" s="17"/>
      <c r="C42" s="36"/>
      <c r="D42" s="18"/>
      <c r="E42" s="24" t="str">
        <f aca="false">IF($D42="","",IFERROR(INDEX('INVENTORY MASTER'!$K$4:$K$63,MATCH($D42,'INVENTORY MASTER'!$A$4:$A$63,0)),""))</f>
        <v/>
      </c>
      <c r="F42" s="18"/>
      <c r="G42" s="18"/>
      <c r="H42" s="18"/>
      <c r="I42" s="18"/>
      <c r="J42" s="18"/>
      <c r="K42" s="17"/>
      <c r="L42" s="17"/>
      <c r="M42" s="18"/>
      <c r="N42" s="18"/>
    </row>
    <row r="43" customFormat="false" ht="15" hidden="false" customHeight="false" outlineLevel="0" collapsed="false">
      <c r="A43" s="18"/>
      <c r="B43" s="17"/>
      <c r="C43" s="36"/>
      <c r="D43" s="18"/>
      <c r="E43" s="24" t="str">
        <f aca="false">IF($D43="","",IFERROR(INDEX('INVENTORY MASTER'!$K$4:$K$63,MATCH($D43,'INVENTORY MASTER'!$A$4:$A$63,0)),""))</f>
        <v/>
      </c>
      <c r="F43" s="18"/>
      <c r="G43" s="18"/>
      <c r="H43" s="18"/>
      <c r="I43" s="18"/>
      <c r="J43" s="18"/>
      <c r="K43" s="17"/>
      <c r="L43" s="17"/>
      <c r="M43" s="18"/>
      <c r="N43" s="18"/>
    </row>
    <row r="44" customFormat="false" ht="15" hidden="false" customHeight="false" outlineLevel="0" collapsed="false">
      <c r="A44" s="18"/>
      <c r="B44" s="17"/>
      <c r="C44" s="36"/>
      <c r="D44" s="18"/>
      <c r="E44" s="24" t="str">
        <f aca="false">IF($D44="","",IFERROR(INDEX('INVENTORY MASTER'!$K$4:$K$63,MATCH($D44,'INVENTORY MASTER'!$A$4:$A$63,0)),""))</f>
        <v/>
      </c>
      <c r="F44" s="18"/>
      <c r="G44" s="18"/>
      <c r="H44" s="18"/>
      <c r="I44" s="18"/>
      <c r="J44" s="18"/>
      <c r="K44" s="17"/>
      <c r="L44" s="17"/>
      <c r="M44" s="18"/>
      <c r="N44" s="18"/>
    </row>
    <row r="45" customFormat="false" ht="15" hidden="false" customHeight="false" outlineLevel="0" collapsed="false">
      <c r="A45" s="18"/>
      <c r="B45" s="17"/>
      <c r="C45" s="36"/>
      <c r="D45" s="18"/>
      <c r="E45" s="24" t="str">
        <f aca="false">IF($D45="","",IFERROR(INDEX('INVENTORY MASTER'!$K$4:$K$63,MATCH($D45,'INVENTORY MASTER'!$A$4:$A$63,0)),""))</f>
        <v/>
      </c>
      <c r="F45" s="18"/>
      <c r="G45" s="18"/>
      <c r="H45" s="18"/>
      <c r="I45" s="18"/>
      <c r="J45" s="18"/>
      <c r="K45" s="17"/>
      <c r="L45" s="17"/>
      <c r="M45" s="18"/>
      <c r="N45" s="18"/>
    </row>
    <row r="46" customFormat="false" ht="15" hidden="false" customHeight="false" outlineLevel="0" collapsed="false">
      <c r="A46" s="18"/>
      <c r="B46" s="17"/>
      <c r="C46" s="36"/>
      <c r="D46" s="18"/>
      <c r="E46" s="24" t="str">
        <f aca="false">IF($D46="","",IFERROR(INDEX('INVENTORY MASTER'!$K$4:$K$63,MATCH($D46,'INVENTORY MASTER'!$A$4:$A$63,0)),""))</f>
        <v/>
      </c>
      <c r="F46" s="18"/>
      <c r="G46" s="18"/>
      <c r="H46" s="18"/>
      <c r="I46" s="18"/>
      <c r="J46" s="18"/>
      <c r="K46" s="17"/>
      <c r="L46" s="17"/>
      <c r="M46" s="18"/>
      <c r="N46" s="18"/>
    </row>
    <row r="47" customFormat="false" ht="15" hidden="false" customHeight="false" outlineLevel="0" collapsed="false">
      <c r="A47" s="18"/>
      <c r="B47" s="17"/>
      <c r="C47" s="36"/>
      <c r="D47" s="18"/>
      <c r="E47" s="24" t="str">
        <f aca="false">IF($D47="","",IFERROR(INDEX('INVENTORY MASTER'!$K$4:$K$63,MATCH($D47,'INVENTORY MASTER'!$A$4:$A$63,0)),""))</f>
        <v/>
      </c>
      <c r="F47" s="18"/>
      <c r="G47" s="18"/>
      <c r="H47" s="18"/>
      <c r="I47" s="18"/>
      <c r="J47" s="18"/>
      <c r="K47" s="17"/>
      <c r="L47" s="17"/>
      <c r="M47" s="18"/>
      <c r="N47" s="18"/>
    </row>
    <row r="48" customFormat="false" ht="15" hidden="false" customHeight="false" outlineLevel="0" collapsed="false">
      <c r="A48" s="18"/>
      <c r="B48" s="17"/>
      <c r="C48" s="36"/>
      <c r="D48" s="18"/>
      <c r="E48" s="24" t="str">
        <f aca="false">IF($D48="","",IFERROR(INDEX('INVENTORY MASTER'!$K$4:$K$63,MATCH($D48,'INVENTORY MASTER'!$A$4:$A$63,0)),""))</f>
        <v/>
      </c>
      <c r="F48" s="18"/>
      <c r="G48" s="18"/>
      <c r="H48" s="18"/>
      <c r="I48" s="18"/>
      <c r="J48" s="18"/>
      <c r="K48" s="17"/>
      <c r="L48" s="17"/>
      <c r="M48" s="18"/>
      <c r="N48" s="18"/>
    </row>
    <row r="49" customFormat="false" ht="15" hidden="false" customHeight="false" outlineLevel="0" collapsed="false">
      <c r="A49" s="18"/>
      <c r="B49" s="17"/>
      <c r="C49" s="36"/>
      <c r="D49" s="18"/>
      <c r="E49" s="24" t="str">
        <f aca="false">IF($D49="","",IFERROR(INDEX('INVENTORY MASTER'!$K$4:$K$63,MATCH($D49,'INVENTORY MASTER'!$A$4:$A$63,0)),""))</f>
        <v/>
      </c>
      <c r="F49" s="18"/>
      <c r="G49" s="18"/>
      <c r="H49" s="18"/>
      <c r="I49" s="18"/>
      <c r="J49" s="18"/>
      <c r="K49" s="17"/>
      <c r="L49" s="17"/>
      <c r="M49" s="18"/>
      <c r="N49" s="18"/>
    </row>
    <row r="50" customFormat="false" ht="15" hidden="false" customHeight="false" outlineLevel="0" collapsed="false">
      <c r="A50" s="18"/>
      <c r="B50" s="17"/>
      <c r="C50" s="36"/>
      <c r="D50" s="18"/>
      <c r="E50" s="24" t="str">
        <f aca="false">IF($D50="","",IFERROR(INDEX('INVENTORY MASTER'!$K$4:$K$63,MATCH($D50,'INVENTORY MASTER'!$A$4:$A$63,0)),""))</f>
        <v/>
      </c>
      <c r="F50" s="18"/>
      <c r="G50" s="18"/>
      <c r="H50" s="18"/>
      <c r="I50" s="18"/>
      <c r="J50" s="18"/>
      <c r="K50" s="17"/>
      <c r="L50" s="17"/>
      <c r="M50" s="18"/>
      <c r="N50" s="18"/>
    </row>
    <row r="51" customFormat="false" ht="15" hidden="false" customHeight="false" outlineLevel="0" collapsed="false">
      <c r="A51" s="18"/>
      <c r="B51" s="17"/>
      <c r="C51" s="36"/>
      <c r="D51" s="18"/>
      <c r="E51" s="24" t="str">
        <f aca="false">IF($D51="","",IFERROR(INDEX('INVENTORY MASTER'!$K$4:$K$63,MATCH($D51,'INVENTORY MASTER'!$A$4:$A$63,0)),""))</f>
        <v/>
      </c>
      <c r="F51" s="18"/>
      <c r="G51" s="18"/>
      <c r="H51" s="18"/>
      <c r="I51" s="18"/>
      <c r="J51" s="18"/>
      <c r="K51" s="17"/>
      <c r="L51" s="17"/>
      <c r="M51" s="18"/>
      <c r="N51" s="18"/>
    </row>
    <row r="52" customFormat="false" ht="15" hidden="false" customHeight="false" outlineLevel="0" collapsed="false">
      <c r="A52" s="18"/>
      <c r="B52" s="17"/>
      <c r="C52" s="36"/>
      <c r="D52" s="18"/>
      <c r="E52" s="24" t="str">
        <f aca="false">IF($D52="","",IFERROR(INDEX('INVENTORY MASTER'!$K$4:$K$63,MATCH($D52,'INVENTORY MASTER'!$A$4:$A$63,0)),""))</f>
        <v/>
      </c>
      <c r="F52" s="18"/>
      <c r="G52" s="18"/>
      <c r="H52" s="18"/>
      <c r="I52" s="18"/>
      <c r="J52" s="18"/>
      <c r="K52" s="17"/>
      <c r="L52" s="17"/>
      <c r="M52" s="18"/>
      <c r="N52" s="18"/>
    </row>
    <row r="53" customFormat="false" ht="15" hidden="false" customHeight="false" outlineLevel="0" collapsed="false">
      <c r="A53" s="18"/>
      <c r="B53" s="17"/>
      <c r="C53" s="36"/>
      <c r="D53" s="18"/>
      <c r="E53" s="24" t="str">
        <f aca="false">IF($D53="","",IFERROR(INDEX('INVENTORY MASTER'!$K$4:$K$63,MATCH($D53,'INVENTORY MASTER'!$A$4:$A$63,0)),""))</f>
        <v/>
      </c>
      <c r="F53" s="18"/>
      <c r="G53" s="18"/>
      <c r="H53" s="18"/>
      <c r="I53" s="18"/>
      <c r="J53" s="18"/>
      <c r="K53" s="17"/>
      <c r="L53" s="17"/>
      <c r="M53" s="18"/>
      <c r="N53" s="18"/>
    </row>
    <row r="54" customFormat="false" ht="15" hidden="false" customHeight="false" outlineLevel="0" collapsed="false">
      <c r="A54" s="18"/>
      <c r="B54" s="17"/>
      <c r="C54" s="36"/>
      <c r="D54" s="18"/>
      <c r="E54" s="24" t="str">
        <f aca="false">IF($D54="","",IFERROR(INDEX('INVENTORY MASTER'!$K$4:$K$63,MATCH($D54,'INVENTORY MASTER'!$A$4:$A$63,0)),""))</f>
        <v/>
      </c>
      <c r="F54" s="18"/>
      <c r="G54" s="18"/>
      <c r="H54" s="18"/>
      <c r="I54" s="18"/>
      <c r="J54" s="18"/>
      <c r="K54" s="17"/>
      <c r="L54" s="17"/>
      <c r="M54" s="18"/>
      <c r="N54" s="18"/>
    </row>
    <row r="55" customFormat="false" ht="15" hidden="false" customHeight="false" outlineLevel="0" collapsed="false">
      <c r="A55" s="18"/>
      <c r="B55" s="17"/>
      <c r="C55" s="36"/>
      <c r="D55" s="18"/>
      <c r="E55" s="24" t="str">
        <f aca="false">IF($D55="","",IFERROR(INDEX('INVENTORY MASTER'!$K$4:$K$63,MATCH($D55,'INVENTORY MASTER'!$A$4:$A$63,0)),""))</f>
        <v/>
      </c>
      <c r="F55" s="18"/>
      <c r="G55" s="18"/>
      <c r="H55" s="18"/>
      <c r="I55" s="18"/>
      <c r="J55" s="18"/>
      <c r="K55" s="17"/>
      <c r="L55" s="17"/>
      <c r="M55" s="18"/>
      <c r="N55" s="18"/>
    </row>
    <row r="56" customFormat="false" ht="15" hidden="false" customHeight="false" outlineLevel="0" collapsed="false">
      <c r="A56" s="18"/>
      <c r="B56" s="17"/>
      <c r="C56" s="36"/>
      <c r="D56" s="18"/>
      <c r="E56" s="24" t="str">
        <f aca="false">IF($D56="","",IFERROR(INDEX('INVENTORY MASTER'!$K$4:$K$63,MATCH($D56,'INVENTORY MASTER'!$A$4:$A$63,0)),""))</f>
        <v/>
      </c>
      <c r="F56" s="18"/>
      <c r="G56" s="18"/>
      <c r="H56" s="18"/>
      <c r="I56" s="18"/>
      <c r="J56" s="18"/>
      <c r="K56" s="17"/>
      <c r="L56" s="17"/>
      <c r="M56" s="18"/>
      <c r="N56" s="18"/>
    </row>
    <row r="57" customFormat="false" ht="15" hidden="false" customHeight="false" outlineLevel="0" collapsed="false">
      <c r="A57" s="18"/>
      <c r="B57" s="17"/>
      <c r="C57" s="36"/>
      <c r="D57" s="18"/>
      <c r="E57" s="24" t="str">
        <f aca="false">IF($D57="","",IFERROR(INDEX('INVENTORY MASTER'!$K$4:$K$63,MATCH($D57,'INVENTORY MASTER'!$A$4:$A$63,0)),""))</f>
        <v/>
      </c>
      <c r="F57" s="18"/>
      <c r="G57" s="18"/>
      <c r="H57" s="18"/>
      <c r="I57" s="18"/>
      <c r="J57" s="18"/>
      <c r="K57" s="17"/>
      <c r="L57" s="17"/>
      <c r="M57" s="18"/>
      <c r="N57" s="18"/>
    </row>
    <row r="58" customFormat="false" ht="15" hidden="false" customHeight="false" outlineLevel="0" collapsed="false">
      <c r="A58" s="18"/>
      <c r="B58" s="17"/>
      <c r="C58" s="36"/>
      <c r="D58" s="18"/>
      <c r="E58" s="24" t="str">
        <f aca="false">IF($D58="","",IFERROR(INDEX('INVENTORY MASTER'!$K$4:$K$63,MATCH($D58,'INVENTORY MASTER'!$A$4:$A$63,0)),""))</f>
        <v/>
      </c>
      <c r="F58" s="18"/>
      <c r="G58" s="18"/>
      <c r="H58" s="18"/>
      <c r="I58" s="18"/>
      <c r="J58" s="18"/>
      <c r="K58" s="17"/>
      <c r="L58" s="17"/>
      <c r="M58" s="18"/>
      <c r="N58" s="18"/>
    </row>
    <row r="59" customFormat="false" ht="15" hidden="false" customHeight="false" outlineLevel="0" collapsed="false">
      <c r="A59" s="18"/>
      <c r="B59" s="17"/>
      <c r="C59" s="36"/>
      <c r="D59" s="18"/>
      <c r="E59" s="24" t="str">
        <f aca="false">IF($D59="","",IFERROR(INDEX('INVENTORY MASTER'!$K$4:$K$63,MATCH($D59,'INVENTORY MASTER'!$A$4:$A$63,0)),""))</f>
        <v/>
      </c>
      <c r="F59" s="18"/>
      <c r="G59" s="18"/>
      <c r="H59" s="18"/>
      <c r="I59" s="18"/>
      <c r="J59" s="18"/>
      <c r="K59" s="17"/>
      <c r="L59" s="17"/>
      <c r="M59" s="18"/>
      <c r="N59" s="18"/>
    </row>
    <row r="60" customFormat="false" ht="15" hidden="false" customHeight="false" outlineLevel="0" collapsed="false">
      <c r="A60" s="18"/>
      <c r="B60" s="17"/>
      <c r="C60" s="36"/>
      <c r="D60" s="18"/>
      <c r="E60" s="24" t="str">
        <f aca="false">IF($D60="","",IFERROR(INDEX('INVENTORY MASTER'!$K$4:$K$63,MATCH($D60,'INVENTORY MASTER'!$A$4:$A$63,0)),""))</f>
        <v/>
      </c>
      <c r="F60" s="18"/>
      <c r="G60" s="18"/>
      <c r="H60" s="18"/>
      <c r="I60" s="18"/>
      <c r="J60" s="18"/>
      <c r="K60" s="17"/>
      <c r="L60" s="17"/>
      <c r="M60" s="18"/>
      <c r="N60" s="18"/>
    </row>
    <row r="61" customFormat="false" ht="15" hidden="false" customHeight="false" outlineLevel="0" collapsed="false">
      <c r="A61" s="18"/>
      <c r="B61" s="17"/>
      <c r="C61" s="36"/>
      <c r="D61" s="18"/>
      <c r="E61" s="24" t="str">
        <f aca="false">IF($D61="","",IFERROR(INDEX('INVENTORY MASTER'!$K$4:$K$63,MATCH($D61,'INVENTORY MASTER'!$A$4:$A$63,0)),""))</f>
        <v/>
      </c>
      <c r="F61" s="18"/>
      <c r="G61" s="18"/>
      <c r="H61" s="18"/>
      <c r="I61" s="18"/>
      <c r="J61" s="18"/>
      <c r="K61" s="17"/>
      <c r="L61" s="17"/>
      <c r="M61" s="18"/>
      <c r="N61" s="18"/>
    </row>
    <row r="62" customFormat="false" ht="15" hidden="false" customHeight="false" outlineLevel="0" collapsed="false">
      <c r="A62" s="18"/>
      <c r="B62" s="17"/>
      <c r="C62" s="36"/>
      <c r="D62" s="18"/>
      <c r="E62" s="24" t="str">
        <f aca="false">IF($D62="","",IFERROR(INDEX('INVENTORY MASTER'!$K$4:$K$63,MATCH($D62,'INVENTORY MASTER'!$A$4:$A$63,0)),""))</f>
        <v/>
      </c>
      <c r="F62" s="18"/>
      <c r="G62" s="18"/>
      <c r="H62" s="18"/>
      <c r="I62" s="18"/>
      <c r="J62" s="18"/>
      <c r="K62" s="17"/>
      <c r="L62" s="17"/>
      <c r="M62" s="18"/>
      <c r="N62" s="18"/>
    </row>
    <row r="63" customFormat="false" ht="15" hidden="false" customHeight="false" outlineLevel="0" collapsed="false">
      <c r="A63" s="18"/>
      <c r="B63" s="17"/>
      <c r="C63" s="36"/>
      <c r="D63" s="18"/>
      <c r="E63" s="24" t="str">
        <f aca="false">IF($D63="","",IFERROR(INDEX('INVENTORY MASTER'!$K$4:$K$63,MATCH($D63,'INVENTORY MASTER'!$A$4:$A$63,0)),""))</f>
        <v/>
      </c>
      <c r="F63" s="18"/>
      <c r="G63" s="18"/>
      <c r="H63" s="18"/>
      <c r="I63" s="18"/>
      <c r="J63" s="18"/>
      <c r="K63" s="17"/>
      <c r="L63" s="17"/>
      <c r="M63" s="18"/>
      <c r="N63" s="18"/>
    </row>
  </sheetData>
  <sheetProtection sheet="true" password="c7e9" objects="true" scenarios="true" sort="false" autoFilter="false"/>
  <mergeCells count="2">
    <mergeCell ref="A1:N1"/>
    <mergeCell ref="A2:N2"/>
  </mergeCells>
  <conditionalFormatting sqref="A4:N63">
    <cfRule type="expression" priority="2" aboveAverage="0" equalAverage="0" bottom="0" percent="0" rank="0" text="" dxfId="0">
      <formula>AND($K4&lt;&gt;"",$K4&lt;SETTINGS!$W$6,$M4&lt;&gt;"Yes",$L4="")</formula>
    </cfRule>
  </conditionalFormatting>
  <dataValidations count="6">
    <dataValidation allowBlank="true" errorStyle="stop" operator="between" showDropDown="false" showErrorMessage="false" showInputMessage="false" sqref="F4:F63" type="list">
      <formula1>SETTINGS!$C$5:$C$14</formula1>
      <formula2>0</formula2>
    </dataValidation>
    <dataValidation allowBlank="true" errorStyle="stop" operator="between" showDropDown="false" showErrorMessage="false" showInputMessage="false" sqref="G4:G63" type="list">
      <formula1>SETTINGS!$C$5:$C$14</formula1>
      <formula2>0</formula2>
    </dataValidation>
    <dataValidation allowBlank="true" errorStyle="stop" operator="between" showDropDown="false" showErrorMessage="false" showInputMessage="false" sqref="J4:J63" type="list">
      <formula1>SETTINGS!$Q$5:$Q$14</formula1>
      <formula2>0</formula2>
    </dataValidation>
    <dataValidation allowBlank="true" errorStyle="stop" operator="between" showDropDown="false" showErrorMessage="false" showInputMessage="false" sqref="I4:I63" type="list">
      <formula1>SETTINGS!$B$5:$B$8</formula1>
      <formula2>0</formula2>
    </dataValidation>
    <dataValidation allowBlank="true" errorStyle="stop" operator="between" showDropDown="false" showErrorMessage="false" showInputMessage="false" sqref="M4:M63" type="list">
      <formula1>SETTINGS!$N$5:$N$6</formula1>
      <formula2>0</formula2>
    </dataValidation>
    <dataValidation allowBlank="true" errorStyle="stop" operator="between" showDropDown="false" showErrorMessage="false" showInputMessage="false" sqref="D4:D63" type="list">
      <formula1>'INVENTORY MASTER'!$A$4:$A$63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8"/>
    <col collapsed="false" customWidth="true" hidden="false" outlineLevel="0" max="10" min="4" style="0" width="13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1" t="s">
        <v>513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514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15" t="s">
        <v>515</v>
      </c>
      <c r="B3" s="15" t="s">
        <v>516</v>
      </c>
      <c r="C3" s="15" t="s">
        <v>517</v>
      </c>
      <c r="D3" s="15" t="s">
        <v>518</v>
      </c>
      <c r="E3" s="15" t="s">
        <v>519</v>
      </c>
      <c r="F3" s="15" t="s">
        <v>520</v>
      </c>
      <c r="G3" s="15" t="s">
        <v>521</v>
      </c>
      <c r="H3" s="15" t="s">
        <v>522</v>
      </c>
      <c r="I3" s="15" t="s">
        <v>523</v>
      </c>
      <c r="J3" s="15" t="s">
        <v>524</v>
      </c>
      <c r="K3" s="15" t="s">
        <v>221</v>
      </c>
    </row>
    <row r="4" customFormat="false" ht="15" hidden="false" customHeight="false" outlineLevel="0" collapsed="false">
      <c r="A4" s="18" t="s">
        <v>525</v>
      </c>
      <c r="B4" s="18" t="s">
        <v>62</v>
      </c>
      <c r="C4" s="18" t="s">
        <v>526</v>
      </c>
      <c r="D4" s="17" t="n">
        <v>46024</v>
      </c>
      <c r="E4" s="18" t="s">
        <v>232</v>
      </c>
      <c r="F4" s="22" t="n">
        <v>20000</v>
      </c>
      <c r="G4" s="21" t="n">
        <f aca="false">IF($B4="","",SUMIFS(SALES!$K$4:$K$63,SALES!$F$4:$F$63,$B4,SALES!$B$4:$B$63,"&gt;="&amp;SETTINGS!$W$7,SALES!$B$4:$B$63,"&lt;="&amp;SETTINGS!$W$8))</f>
        <v>0</v>
      </c>
      <c r="H4" s="21" t="n">
        <f aca="false">IF($B4="","",SUMIFS(SALES!$N$4:$N$63,SALES!$F$4:$F$63,$B4))</f>
        <v>2100</v>
      </c>
      <c r="I4" s="24" t="n">
        <f aca="false">IF($B4="","",COUNTIFS(SALES!$F$4:$F$63,$B4))</f>
        <v>1</v>
      </c>
      <c r="J4" s="21" t="n">
        <f aca="false">IF(OR($B4="",$I4=0),"",SUMIFS(SALES!$K$4:$K$63,SALES!$F$4:$F$63,$B4)/$I4)</f>
        <v>10200</v>
      </c>
      <c r="K4" s="18" t="s">
        <v>527</v>
      </c>
    </row>
    <row r="5" customFormat="false" ht="15" hidden="false" customHeight="false" outlineLevel="0" collapsed="false">
      <c r="A5" s="18" t="s">
        <v>528</v>
      </c>
      <c r="B5" s="18" t="s">
        <v>66</v>
      </c>
      <c r="C5" s="18" t="s">
        <v>529</v>
      </c>
      <c r="D5" s="17" t="n">
        <v>46024</v>
      </c>
      <c r="E5" s="18" t="s">
        <v>232</v>
      </c>
      <c r="F5" s="22" t="n">
        <v>15000</v>
      </c>
      <c r="G5" s="21" t="n">
        <f aca="false">IF($B5="","",SUMIFS(SALES!$K$4:$K$63,SALES!$F$4:$F$63,$B5,SALES!$B$4:$B$63,"&gt;="&amp;SETTINGS!$W$7,SALES!$B$4:$B$63,"&lt;="&amp;SETTINGS!$W$8))</f>
        <v>0</v>
      </c>
      <c r="H5" s="21" t="n">
        <f aca="false">IF($B5="","",SUMIFS(SALES!$N$4:$N$63,SALES!$F$4:$F$63,$B5))</f>
        <v>0</v>
      </c>
      <c r="I5" s="24" t="n">
        <f aca="false">IF($B5="","",COUNTIFS(SALES!$F$4:$F$63,$B5))</f>
        <v>0</v>
      </c>
      <c r="J5" s="21" t="str">
        <f aca="false">IF(OR($B5="",$I5=0),"",SUMIFS(SALES!$K$4:$K$63,SALES!$F$4:$F$63,$B5)/$I5)</f>
        <v/>
      </c>
      <c r="K5" s="18" t="s">
        <v>527</v>
      </c>
    </row>
    <row r="6" customFormat="false" ht="15" hidden="false" customHeight="false" outlineLevel="0" collapsed="false">
      <c r="A6" s="18" t="s">
        <v>530</v>
      </c>
      <c r="B6" s="18" t="s">
        <v>70</v>
      </c>
      <c r="C6" s="18" t="s">
        <v>529</v>
      </c>
      <c r="D6" s="17" t="n">
        <v>46037</v>
      </c>
      <c r="E6" s="18" t="s">
        <v>232</v>
      </c>
      <c r="F6" s="22" t="n">
        <v>15000</v>
      </c>
      <c r="G6" s="21" t="n">
        <f aca="false">IF($B6="","",SUMIFS(SALES!$K$4:$K$63,SALES!$F$4:$F$63,$B6,SALES!$B$4:$B$63,"&gt;="&amp;SETTINGS!$W$7,SALES!$B$4:$B$63,"&lt;="&amp;SETTINGS!$W$8))</f>
        <v>0</v>
      </c>
      <c r="H6" s="21" t="n">
        <f aca="false">IF($B6="","",SUMIFS(SALES!$N$4:$N$63,SALES!$F$4:$F$63,$B6))</f>
        <v>0</v>
      </c>
      <c r="I6" s="24" t="n">
        <f aca="false">IF($B6="","",COUNTIFS(SALES!$F$4:$F$63,$B6))</f>
        <v>0</v>
      </c>
      <c r="J6" s="21" t="str">
        <f aca="false">IF(OR($B6="",$I6=0),"",SUMIFS(SALES!$K$4:$K$63,SALES!$F$4:$F$63,$B6)/$I6)</f>
        <v/>
      </c>
      <c r="K6" s="18" t="s">
        <v>527</v>
      </c>
    </row>
    <row r="7" customFormat="false" ht="15" hidden="false" customHeight="false" outlineLevel="0" collapsed="false">
      <c r="A7" s="18" t="s">
        <v>531</v>
      </c>
      <c r="B7" s="18" t="s">
        <v>74</v>
      </c>
      <c r="C7" s="18" t="s">
        <v>532</v>
      </c>
      <c r="D7" s="17" t="n">
        <v>46024</v>
      </c>
      <c r="E7" s="18" t="s">
        <v>232</v>
      </c>
      <c r="F7" s="22" t="n">
        <v>0</v>
      </c>
      <c r="G7" s="21" t="n">
        <f aca="false">IF($B7="","",SUMIFS(SALES!$K$4:$K$63,SALES!$F$4:$F$63,$B7,SALES!$B$4:$B$63,"&gt;="&amp;SETTINGS!$W$7,SALES!$B$4:$B$63,"&lt;="&amp;SETTINGS!$W$8))</f>
        <v>0</v>
      </c>
      <c r="H7" s="21" t="n">
        <f aca="false">IF($B7="","",SUMIFS(SALES!$N$4:$N$63,SALES!$F$4:$F$63,$B7))</f>
        <v>0</v>
      </c>
      <c r="I7" s="24" t="n">
        <f aca="false">IF($B7="","",COUNTIFS(SALES!$F$4:$F$63,$B7))</f>
        <v>0</v>
      </c>
      <c r="J7" s="21" t="str">
        <f aca="false">IF(OR($B7="",$I7=0),"",SUMIFS(SALES!$K$4:$K$63,SALES!$F$4:$F$63,$B7)/$I7)</f>
        <v/>
      </c>
      <c r="K7" s="18" t="s">
        <v>527</v>
      </c>
    </row>
    <row r="8" customFormat="false" ht="15" hidden="false" customHeight="false" outlineLevel="0" collapsed="false">
      <c r="A8" s="18"/>
      <c r="B8" s="18"/>
      <c r="C8" s="18"/>
      <c r="D8" s="17"/>
      <c r="E8" s="18"/>
      <c r="F8" s="22"/>
      <c r="G8" s="21" t="str">
        <f aca="false">IF($B8="","",SUMIFS(SALES!$K$4:$K$63,SALES!$F$4:$F$63,$B8,SALES!$B$4:$B$63,"&gt;="&amp;SETTINGS!$W$7,SALES!$B$4:$B$63,"&lt;="&amp;SETTINGS!$W$8))</f>
        <v/>
      </c>
      <c r="H8" s="21" t="str">
        <f aca="false">IF($B8="","",SUMIFS(SALES!$N$4:$N$63,SALES!$F$4:$F$63,$B8))</f>
        <v/>
      </c>
      <c r="I8" s="24" t="str">
        <f aca="false">IF($B8="","",COUNTIFS(SALES!$F$4:$F$63,$B8))</f>
        <v/>
      </c>
      <c r="J8" s="21" t="str">
        <f aca="false">IF(OR($B8="",$I8=0),"",SUMIFS(SALES!$K$4:$K$63,SALES!$F$4:$F$63,$B8)/$I8)</f>
        <v/>
      </c>
      <c r="K8" s="18"/>
    </row>
    <row r="9" customFormat="false" ht="15" hidden="false" customHeight="false" outlineLevel="0" collapsed="false">
      <c r="A9" s="18"/>
      <c r="B9" s="18"/>
      <c r="C9" s="18"/>
      <c r="D9" s="17"/>
      <c r="E9" s="18"/>
      <c r="F9" s="22"/>
      <c r="G9" s="21" t="str">
        <f aca="false">IF($B9="","",SUMIFS(SALES!$K$4:$K$63,SALES!$F$4:$F$63,$B9,SALES!$B$4:$B$63,"&gt;="&amp;SETTINGS!$W$7,SALES!$B$4:$B$63,"&lt;="&amp;SETTINGS!$W$8))</f>
        <v/>
      </c>
      <c r="H9" s="21" t="str">
        <f aca="false">IF($B9="","",SUMIFS(SALES!$N$4:$N$63,SALES!$F$4:$F$63,$B9))</f>
        <v/>
      </c>
      <c r="I9" s="24" t="str">
        <f aca="false">IF($B9="","",COUNTIFS(SALES!$F$4:$F$63,$B9))</f>
        <v/>
      </c>
      <c r="J9" s="21" t="str">
        <f aca="false">IF(OR($B9="",$I9=0),"",SUMIFS(SALES!$K$4:$K$63,SALES!$F$4:$F$63,$B9)/$I9)</f>
        <v/>
      </c>
      <c r="K9" s="18"/>
    </row>
    <row r="10" customFormat="false" ht="15" hidden="false" customHeight="false" outlineLevel="0" collapsed="false">
      <c r="A10" s="18"/>
      <c r="B10" s="18"/>
      <c r="C10" s="18"/>
      <c r="D10" s="17"/>
      <c r="E10" s="18"/>
      <c r="F10" s="22"/>
      <c r="G10" s="21" t="str">
        <f aca="false">IF($B10="","",SUMIFS(SALES!$K$4:$K$63,SALES!$F$4:$F$63,$B10,SALES!$B$4:$B$63,"&gt;="&amp;SETTINGS!$W$7,SALES!$B$4:$B$63,"&lt;="&amp;SETTINGS!$W$8))</f>
        <v/>
      </c>
      <c r="H10" s="21" t="str">
        <f aca="false">IF($B10="","",SUMIFS(SALES!$N$4:$N$63,SALES!$F$4:$F$63,$B10))</f>
        <v/>
      </c>
      <c r="I10" s="24" t="str">
        <f aca="false">IF($B10="","",COUNTIFS(SALES!$F$4:$F$63,$B10))</f>
        <v/>
      </c>
      <c r="J10" s="21" t="str">
        <f aca="false">IF(OR($B10="",$I10=0),"",SUMIFS(SALES!$K$4:$K$63,SALES!$F$4:$F$63,$B10)/$I10)</f>
        <v/>
      </c>
      <c r="K10" s="18"/>
    </row>
    <row r="11" customFormat="false" ht="15" hidden="false" customHeight="false" outlineLevel="0" collapsed="false">
      <c r="A11" s="18"/>
      <c r="B11" s="18"/>
      <c r="C11" s="18"/>
      <c r="D11" s="17"/>
      <c r="E11" s="18"/>
      <c r="F11" s="22"/>
      <c r="G11" s="21" t="str">
        <f aca="false">IF($B11="","",SUMIFS(SALES!$K$4:$K$63,SALES!$F$4:$F$63,$B11,SALES!$B$4:$B$63,"&gt;="&amp;SETTINGS!$W$7,SALES!$B$4:$B$63,"&lt;="&amp;SETTINGS!$W$8))</f>
        <v/>
      </c>
      <c r="H11" s="21" t="str">
        <f aca="false">IF($B11="","",SUMIFS(SALES!$N$4:$N$63,SALES!$F$4:$F$63,$B11))</f>
        <v/>
      </c>
      <c r="I11" s="24" t="str">
        <f aca="false">IF($B11="","",COUNTIFS(SALES!$F$4:$F$63,$B11))</f>
        <v/>
      </c>
      <c r="J11" s="21" t="str">
        <f aca="false">IF(OR($B11="",$I11=0),"",SUMIFS(SALES!$K$4:$K$63,SALES!$F$4:$F$63,$B11)/$I11)</f>
        <v/>
      </c>
      <c r="K11" s="18"/>
    </row>
    <row r="12" customFormat="false" ht="15" hidden="false" customHeight="false" outlineLevel="0" collapsed="false">
      <c r="A12" s="18"/>
      <c r="B12" s="18"/>
      <c r="C12" s="18"/>
      <c r="D12" s="17"/>
      <c r="E12" s="18"/>
      <c r="F12" s="22"/>
      <c r="G12" s="21" t="str">
        <f aca="false">IF($B12="","",SUMIFS(SALES!$K$4:$K$63,SALES!$F$4:$F$63,$B12,SALES!$B$4:$B$63,"&gt;="&amp;SETTINGS!$W$7,SALES!$B$4:$B$63,"&lt;="&amp;SETTINGS!$W$8))</f>
        <v/>
      </c>
      <c r="H12" s="21" t="str">
        <f aca="false">IF($B12="","",SUMIFS(SALES!$N$4:$N$63,SALES!$F$4:$F$63,$B12))</f>
        <v/>
      </c>
      <c r="I12" s="24" t="str">
        <f aca="false">IF($B12="","",COUNTIFS(SALES!$F$4:$F$63,$B12))</f>
        <v/>
      </c>
      <c r="J12" s="21" t="str">
        <f aca="false">IF(OR($B12="",$I12=0),"",SUMIFS(SALES!$K$4:$K$63,SALES!$F$4:$F$63,$B12)/$I12)</f>
        <v/>
      </c>
      <c r="K12" s="18"/>
    </row>
    <row r="13" customFormat="false" ht="15" hidden="false" customHeight="false" outlineLevel="0" collapsed="false">
      <c r="A13" s="18"/>
      <c r="B13" s="18"/>
      <c r="C13" s="18"/>
      <c r="D13" s="17"/>
      <c r="E13" s="18"/>
      <c r="F13" s="22"/>
      <c r="G13" s="21" t="str">
        <f aca="false">IF($B13="","",SUMIFS(SALES!$K$4:$K$63,SALES!$F$4:$F$63,$B13,SALES!$B$4:$B$63,"&gt;="&amp;SETTINGS!$W$7,SALES!$B$4:$B$63,"&lt;="&amp;SETTINGS!$W$8))</f>
        <v/>
      </c>
      <c r="H13" s="21" t="str">
        <f aca="false">IF($B13="","",SUMIFS(SALES!$N$4:$N$63,SALES!$F$4:$F$63,$B13))</f>
        <v/>
      </c>
      <c r="I13" s="24" t="str">
        <f aca="false">IF($B13="","",COUNTIFS(SALES!$F$4:$F$63,$B13))</f>
        <v/>
      </c>
      <c r="J13" s="21" t="str">
        <f aca="false">IF(OR($B13="",$I13=0),"",SUMIFS(SALES!$K$4:$K$63,SALES!$F$4:$F$63,$B13)/$I13)</f>
        <v/>
      </c>
      <c r="K13" s="18"/>
    </row>
    <row r="14" customFormat="false" ht="15" hidden="false" customHeight="false" outlineLevel="0" collapsed="false">
      <c r="A14" s="18"/>
      <c r="B14" s="18"/>
      <c r="C14" s="18"/>
      <c r="D14" s="17"/>
      <c r="E14" s="18"/>
      <c r="F14" s="22"/>
      <c r="G14" s="21" t="str">
        <f aca="false">IF($B14="","",SUMIFS(SALES!$K$4:$K$63,SALES!$F$4:$F$63,$B14,SALES!$B$4:$B$63,"&gt;="&amp;SETTINGS!$W$7,SALES!$B$4:$B$63,"&lt;="&amp;SETTINGS!$W$8))</f>
        <v/>
      </c>
      <c r="H14" s="21" t="str">
        <f aca="false">IF($B14="","",SUMIFS(SALES!$N$4:$N$63,SALES!$F$4:$F$63,$B14))</f>
        <v/>
      </c>
      <c r="I14" s="24" t="str">
        <f aca="false">IF($B14="","",COUNTIFS(SALES!$F$4:$F$63,$B14))</f>
        <v/>
      </c>
      <c r="J14" s="21" t="str">
        <f aca="false">IF(OR($B14="",$I14=0),"",SUMIFS(SALES!$K$4:$K$63,SALES!$F$4:$F$63,$B14)/$I14)</f>
        <v/>
      </c>
      <c r="K14" s="18"/>
    </row>
    <row r="15" customFormat="false" ht="15" hidden="false" customHeight="false" outlineLevel="0" collapsed="false">
      <c r="A15" s="18"/>
      <c r="B15" s="18"/>
      <c r="C15" s="18"/>
      <c r="D15" s="17"/>
      <c r="E15" s="18"/>
      <c r="F15" s="22"/>
      <c r="G15" s="21" t="str">
        <f aca="false">IF($B15="","",SUMIFS(SALES!$K$4:$K$63,SALES!$F$4:$F$63,$B15,SALES!$B$4:$B$63,"&gt;="&amp;SETTINGS!$W$7,SALES!$B$4:$B$63,"&lt;="&amp;SETTINGS!$W$8))</f>
        <v/>
      </c>
      <c r="H15" s="21" t="str">
        <f aca="false">IF($B15="","",SUMIFS(SALES!$N$4:$N$63,SALES!$F$4:$F$63,$B15))</f>
        <v/>
      </c>
      <c r="I15" s="24" t="str">
        <f aca="false">IF($B15="","",COUNTIFS(SALES!$F$4:$F$63,$B15))</f>
        <v/>
      </c>
      <c r="J15" s="21" t="str">
        <f aca="false">IF(OR($B15="",$I15=0),"",SUMIFS(SALES!$K$4:$K$63,SALES!$F$4:$F$63,$B15)/$I15)</f>
        <v/>
      </c>
      <c r="K15" s="18"/>
    </row>
    <row r="16" customFormat="false" ht="15" hidden="false" customHeight="false" outlineLevel="0" collapsed="false">
      <c r="A16" s="18"/>
      <c r="B16" s="18"/>
      <c r="C16" s="18"/>
      <c r="D16" s="17"/>
      <c r="E16" s="18"/>
      <c r="F16" s="22"/>
      <c r="G16" s="21" t="str">
        <f aca="false">IF($B16="","",SUMIFS(SALES!$K$4:$K$63,SALES!$F$4:$F$63,$B16,SALES!$B$4:$B$63,"&gt;="&amp;SETTINGS!$W$7,SALES!$B$4:$B$63,"&lt;="&amp;SETTINGS!$W$8))</f>
        <v/>
      </c>
      <c r="H16" s="21" t="str">
        <f aca="false">IF($B16="","",SUMIFS(SALES!$N$4:$N$63,SALES!$F$4:$F$63,$B16))</f>
        <v/>
      </c>
      <c r="I16" s="24" t="str">
        <f aca="false">IF($B16="","",COUNTIFS(SALES!$F$4:$F$63,$B16))</f>
        <v/>
      </c>
      <c r="J16" s="21" t="str">
        <f aca="false">IF(OR($B16="",$I16=0),"",SUMIFS(SALES!$K$4:$K$63,SALES!$F$4:$F$63,$B16)/$I16)</f>
        <v/>
      </c>
      <c r="K16" s="18"/>
    </row>
    <row r="17" customFormat="false" ht="15" hidden="false" customHeight="false" outlineLevel="0" collapsed="false">
      <c r="A17" s="18"/>
      <c r="B17" s="18"/>
      <c r="C17" s="18"/>
      <c r="D17" s="17"/>
      <c r="E17" s="18"/>
      <c r="F17" s="22"/>
      <c r="G17" s="21" t="str">
        <f aca="false">IF($B17="","",SUMIFS(SALES!$K$4:$K$63,SALES!$F$4:$F$63,$B17,SALES!$B$4:$B$63,"&gt;="&amp;SETTINGS!$W$7,SALES!$B$4:$B$63,"&lt;="&amp;SETTINGS!$W$8))</f>
        <v/>
      </c>
      <c r="H17" s="21" t="str">
        <f aca="false">IF($B17="","",SUMIFS(SALES!$N$4:$N$63,SALES!$F$4:$F$63,$B17))</f>
        <v/>
      </c>
      <c r="I17" s="24" t="str">
        <f aca="false">IF($B17="","",COUNTIFS(SALES!$F$4:$F$63,$B17))</f>
        <v/>
      </c>
      <c r="J17" s="21" t="str">
        <f aca="false">IF(OR($B17="",$I17=0),"",SUMIFS(SALES!$K$4:$K$63,SALES!$F$4:$F$63,$B17)/$I17)</f>
        <v/>
      </c>
      <c r="K17" s="18"/>
    </row>
    <row r="18" customFormat="false" ht="15" hidden="false" customHeight="false" outlineLevel="0" collapsed="false">
      <c r="A18" s="18"/>
      <c r="B18" s="18"/>
      <c r="C18" s="18"/>
      <c r="D18" s="17"/>
      <c r="E18" s="18"/>
      <c r="F18" s="22"/>
      <c r="G18" s="21" t="str">
        <f aca="false">IF($B18="","",SUMIFS(SALES!$K$4:$K$63,SALES!$F$4:$F$63,$B18,SALES!$B$4:$B$63,"&gt;="&amp;SETTINGS!$W$7,SALES!$B$4:$B$63,"&lt;="&amp;SETTINGS!$W$8))</f>
        <v/>
      </c>
      <c r="H18" s="21" t="str">
        <f aca="false">IF($B18="","",SUMIFS(SALES!$N$4:$N$63,SALES!$F$4:$F$63,$B18))</f>
        <v/>
      </c>
      <c r="I18" s="24" t="str">
        <f aca="false">IF($B18="","",COUNTIFS(SALES!$F$4:$F$63,$B18))</f>
        <v/>
      </c>
      <c r="J18" s="21" t="str">
        <f aca="false">IF(OR($B18="",$I18=0),"",SUMIFS(SALES!$K$4:$K$63,SALES!$F$4:$F$63,$B18)/$I18)</f>
        <v/>
      </c>
      <c r="K18" s="18"/>
    </row>
    <row r="19" customFormat="false" ht="15" hidden="false" customHeight="false" outlineLevel="0" collapsed="false">
      <c r="A19" s="18"/>
      <c r="B19" s="18"/>
      <c r="C19" s="18"/>
      <c r="D19" s="17"/>
      <c r="E19" s="18"/>
      <c r="F19" s="22"/>
      <c r="G19" s="21" t="str">
        <f aca="false">IF($B19="","",SUMIFS(SALES!$K$4:$K$63,SALES!$F$4:$F$63,$B19,SALES!$B$4:$B$63,"&gt;="&amp;SETTINGS!$W$7,SALES!$B$4:$B$63,"&lt;="&amp;SETTINGS!$W$8))</f>
        <v/>
      </c>
      <c r="H19" s="21" t="str">
        <f aca="false">IF($B19="","",SUMIFS(SALES!$N$4:$N$63,SALES!$F$4:$F$63,$B19))</f>
        <v/>
      </c>
      <c r="I19" s="24" t="str">
        <f aca="false">IF($B19="","",COUNTIFS(SALES!$F$4:$F$63,$B19))</f>
        <v/>
      </c>
      <c r="J19" s="21" t="str">
        <f aca="false">IF(OR($B19="",$I19=0),"",SUMIFS(SALES!$K$4:$K$63,SALES!$F$4:$F$63,$B19)/$I19)</f>
        <v/>
      </c>
      <c r="K19" s="18"/>
    </row>
    <row r="20" customFormat="false" ht="15" hidden="false" customHeight="false" outlineLevel="0" collapsed="false">
      <c r="A20" s="18"/>
      <c r="B20" s="18"/>
      <c r="C20" s="18"/>
      <c r="D20" s="17"/>
      <c r="E20" s="18"/>
      <c r="F20" s="22"/>
      <c r="G20" s="21" t="str">
        <f aca="false">IF($B20="","",SUMIFS(SALES!$K$4:$K$63,SALES!$F$4:$F$63,$B20,SALES!$B$4:$B$63,"&gt;="&amp;SETTINGS!$W$7,SALES!$B$4:$B$63,"&lt;="&amp;SETTINGS!$W$8))</f>
        <v/>
      </c>
      <c r="H20" s="21" t="str">
        <f aca="false">IF($B20="","",SUMIFS(SALES!$N$4:$N$63,SALES!$F$4:$F$63,$B20))</f>
        <v/>
      </c>
      <c r="I20" s="24" t="str">
        <f aca="false">IF($B20="","",COUNTIFS(SALES!$F$4:$F$63,$B20))</f>
        <v/>
      </c>
      <c r="J20" s="21" t="str">
        <f aca="false">IF(OR($B20="",$I20=0),"",SUMIFS(SALES!$K$4:$K$63,SALES!$F$4:$F$63,$B20)/$I20)</f>
        <v/>
      </c>
      <c r="K20" s="18"/>
    </row>
    <row r="21" customFormat="false" ht="15" hidden="false" customHeight="false" outlineLevel="0" collapsed="false">
      <c r="A21" s="18"/>
      <c r="B21" s="18"/>
      <c r="C21" s="18"/>
      <c r="D21" s="17"/>
      <c r="E21" s="18"/>
      <c r="F21" s="22"/>
      <c r="G21" s="21" t="str">
        <f aca="false">IF($B21="","",SUMIFS(SALES!$K$4:$K$63,SALES!$F$4:$F$63,$B21,SALES!$B$4:$B$63,"&gt;="&amp;SETTINGS!$W$7,SALES!$B$4:$B$63,"&lt;="&amp;SETTINGS!$W$8))</f>
        <v/>
      </c>
      <c r="H21" s="21" t="str">
        <f aca="false">IF($B21="","",SUMIFS(SALES!$N$4:$N$63,SALES!$F$4:$F$63,$B21))</f>
        <v/>
      </c>
      <c r="I21" s="24" t="str">
        <f aca="false">IF($B21="","",COUNTIFS(SALES!$F$4:$F$63,$B21))</f>
        <v/>
      </c>
      <c r="J21" s="21" t="str">
        <f aca="false">IF(OR($B21="",$I21=0),"",SUMIFS(SALES!$K$4:$K$63,SALES!$F$4:$F$63,$B21)/$I21)</f>
        <v/>
      </c>
      <c r="K21" s="18"/>
    </row>
    <row r="22" customFormat="false" ht="15" hidden="false" customHeight="false" outlineLevel="0" collapsed="false">
      <c r="A22" s="18"/>
      <c r="B22" s="18"/>
      <c r="C22" s="18"/>
      <c r="D22" s="17"/>
      <c r="E22" s="18"/>
      <c r="F22" s="22"/>
      <c r="G22" s="21" t="str">
        <f aca="false">IF($B22="","",SUMIFS(SALES!$K$4:$K$63,SALES!$F$4:$F$63,$B22,SALES!$B$4:$B$63,"&gt;="&amp;SETTINGS!$W$7,SALES!$B$4:$B$63,"&lt;="&amp;SETTINGS!$W$8))</f>
        <v/>
      </c>
      <c r="H22" s="21" t="str">
        <f aca="false">IF($B22="","",SUMIFS(SALES!$N$4:$N$63,SALES!$F$4:$F$63,$B22))</f>
        <v/>
      </c>
      <c r="I22" s="24" t="str">
        <f aca="false">IF($B22="","",COUNTIFS(SALES!$F$4:$F$63,$B22))</f>
        <v/>
      </c>
      <c r="J22" s="21" t="str">
        <f aca="false">IF(OR($B22="",$I22=0),"",SUMIFS(SALES!$K$4:$K$63,SALES!$F$4:$F$63,$B22)/$I22)</f>
        <v/>
      </c>
      <c r="K22" s="18"/>
    </row>
    <row r="23" customFormat="false" ht="15" hidden="false" customHeight="false" outlineLevel="0" collapsed="false">
      <c r="A23" s="18"/>
      <c r="B23" s="18"/>
      <c r="C23" s="18"/>
      <c r="D23" s="17"/>
      <c r="E23" s="18"/>
      <c r="F23" s="22"/>
      <c r="G23" s="21" t="str">
        <f aca="false">IF($B23="","",SUMIFS(SALES!$K$4:$K$63,SALES!$F$4:$F$63,$B23,SALES!$B$4:$B$63,"&gt;="&amp;SETTINGS!$W$7,SALES!$B$4:$B$63,"&lt;="&amp;SETTINGS!$W$8))</f>
        <v/>
      </c>
      <c r="H23" s="21" t="str">
        <f aca="false">IF($B23="","",SUMIFS(SALES!$N$4:$N$63,SALES!$F$4:$F$63,$B23))</f>
        <v/>
      </c>
      <c r="I23" s="24" t="str">
        <f aca="false">IF($B23="","",COUNTIFS(SALES!$F$4:$F$63,$B23))</f>
        <v/>
      </c>
      <c r="J23" s="21" t="str">
        <f aca="false">IF(OR($B23="",$I23=0),"",SUMIFS(SALES!$K$4:$K$63,SALES!$F$4:$F$63,$B23)/$I23)</f>
        <v/>
      </c>
      <c r="K23" s="18"/>
    </row>
    <row r="24" customFormat="false" ht="15" hidden="false" customHeight="false" outlineLevel="0" collapsed="false">
      <c r="A24" s="18"/>
      <c r="B24" s="18"/>
      <c r="C24" s="18"/>
      <c r="D24" s="17"/>
      <c r="E24" s="18"/>
      <c r="F24" s="22"/>
      <c r="G24" s="21" t="str">
        <f aca="false">IF($B24="","",SUMIFS(SALES!$K$4:$K$63,SALES!$F$4:$F$63,$B24,SALES!$B$4:$B$63,"&gt;="&amp;SETTINGS!$W$7,SALES!$B$4:$B$63,"&lt;="&amp;SETTINGS!$W$8))</f>
        <v/>
      </c>
      <c r="H24" s="21" t="str">
        <f aca="false">IF($B24="","",SUMIFS(SALES!$N$4:$N$63,SALES!$F$4:$F$63,$B24))</f>
        <v/>
      </c>
      <c r="I24" s="24" t="str">
        <f aca="false">IF($B24="","",COUNTIFS(SALES!$F$4:$F$63,$B24))</f>
        <v/>
      </c>
      <c r="J24" s="21" t="str">
        <f aca="false">IF(OR($B24="",$I24=0),"",SUMIFS(SALES!$K$4:$K$63,SALES!$F$4:$F$63,$B24)/$I24)</f>
        <v/>
      </c>
      <c r="K24" s="18"/>
    </row>
    <row r="25" customFormat="false" ht="15" hidden="false" customHeight="false" outlineLevel="0" collapsed="false">
      <c r="A25" s="18"/>
      <c r="B25" s="18"/>
      <c r="C25" s="18"/>
      <c r="D25" s="17"/>
      <c r="E25" s="18"/>
      <c r="F25" s="22"/>
      <c r="G25" s="21" t="str">
        <f aca="false">IF($B25="","",SUMIFS(SALES!$K$4:$K$63,SALES!$F$4:$F$63,$B25,SALES!$B$4:$B$63,"&gt;="&amp;SETTINGS!$W$7,SALES!$B$4:$B$63,"&lt;="&amp;SETTINGS!$W$8))</f>
        <v/>
      </c>
      <c r="H25" s="21" t="str">
        <f aca="false">IF($B25="","",SUMIFS(SALES!$N$4:$N$63,SALES!$F$4:$F$63,$B25))</f>
        <v/>
      </c>
      <c r="I25" s="24" t="str">
        <f aca="false">IF($B25="","",COUNTIFS(SALES!$F$4:$F$63,$B25))</f>
        <v/>
      </c>
      <c r="J25" s="21" t="str">
        <f aca="false">IF(OR($B25="",$I25=0),"",SUMIFS(SALES!$K$4:$K$63,SALES!$F$4:$F$63,$B25)/$I25)</f>
        <v/>
      </c>
      <c r="K25" s="18"/>
    </row>
    <row r="26" customFormat="false" ht="15" hidden="false" customHeight="false" outlineLevel="0" collapsed="false">
      <c r="A26" s="18"/>
      <c r="B26" s="18"/>
      <c r="C26" s="18"/>
      <c r="D26" s="17"/>
      <c r="E26" s="18"/>
      <c r="F26" s="22"/>
      <c r="G26" s="21" t="str">
        <f aca="false">IF($B26="","",SUMIFS(SALES!$K$4:$K$63,SALES!$F$4:$F$63,$B26,SALES!$B$4:$B$63,"&gt;="&amp;SETTINGS!$W$7,SALES!$B$4:$B$63,"&lt;="&amp;SETTINGS!$W$8))</f>
        <v/>
      </c>
      <c r="H26" s="21" t="str">
        <f aca="false">IF($B26="","",SUMIFS(SALES!$N$4:$N$63,SALES!$F$4:$F$63,$B26))</f>
        <v/>
      </c>
      <c r="I26" s="24" t="str">
        <f aca="false">IF($B26="","",COUNTIFS(SALES!$F$4:$F$63,$B26))</f>
        <v/>
      </c>
      <c r="J26" s="21" t="str">
        <f aca="false">IF(OR($B26="",$I26=0),"",SUMIFS(SALES!$K$4:$K$63,SALES!$F$4:$F$63,$B26)/$I26)</f>
        <v/>
      </c>
      <c r="K26" s="18"/>
    </row>
    <row r="27" customFormat="false" ht="15" hidden="false" customHeight="false" outlineLevel="0" collapsed="false">
      <c r="A27" s="18"/>
      <c r="B27" s="18"/>
      <c r="C27" s="18"/>
      <c r="D27" s="17"/>
      <c r="E27" s="18"/>
      <c r="F27" s="22"/>
      <c r="G27" s="21" t="str">
        <f aca="false">IF($B27="","",SUMIFS(SALES!$K$4:$K$63,SALES!$F$4:$F$63,$B27,SALES!$B$4:$B$63,"&gt;="&amp;SETTINGS!$W$7,SALES!$B$4:$B$63,"&lt;="&amp;SETTINGS!$W$8))</f>
        <v/>
      </c>
      <c r="H27" s="21" t="str">
        <f aca="false">IF($B27="","",SUMIFS(SALES!$N$4:$N$63,SALES!$F$4:$F$63,$B27))</f>
        <v/>
      </c>
      <c r="I27" s="24" t="str">
        <f aca="false">IF($B27="","",COUNTIFS(SALES!$F$4:$F$63,$B27))</f>
        <v/>
      </c>
      <c r="J27" s="21" t="str">
        <f aca="false">IF(OR($B27="",$I27=0),"",SUMIFS(SALES!$K$4:$K$63,SALES!$F$4:$F$63,$B27)/$I27)</f>
        <v/>
      </c>
      <c r="K27" s="18"/>
    </row>
    <row r="28" customFormat="false" ht="15" hidden="false" customHeight="false" outlineLevel="0" collapsed="false">
      <c r="A28" s="18"/>
      <c r="B28" s="18"/>
      <c r="C28" s="18"/>
      <c r="D28" s="17"/>
      <c r="E28" s="18"/>
      <c r="F28" s="22"/>
      <c r="G28" s="21" t="str">
        <f aca="false">IF($B28="","",SUMIFS(SALES!$K$4:$K$63,SALES!$F$4:$F$63,$B28,SALES!$B$4:$B$63,"&gt;="&amp;SETTINGS!$W$7,SALES!$B$4:$B$63,"&lt;="&amp;SETTINGS!$W$8))</f>
        <v/>
      </c>
      <c r="H28" s="21" t="str">
        <f aca="false">IF($B28="","",SUMIFS(SALES!$N$4:$N$63,SALES!$F$4:$F$63,$B28))</f>
        <v/>
      </c>
      <c r="I28" s="24" t="str">
        <f aca="false">IF($B28="","",COUNTIFS(SALES!$F$4:$F$63,$B28))</f>
        <v/>
      </c>
      <c r="J28" s="21" t="str">
        <f aca="false">IF(OR($B28="",$I28=0),"",SUMIFS(SALES!$K$4:$K$63,SALES!$F$4:$F$63,$B28)/$I28)</f>
        <v/>
      </c>
      <c r="K28" s="18"/>
    </row>
    <row r="29" customFormat="false" ht="15" hidden="false" customHeight="false" outlineLevel="0" collapsed="false">
      <c r="A29" s="18"/>
      <c r="B29" s="18"/>
      <c r="C29" s="18"/>
      <c r="D29" s="17"/>
      <c r="E29" s="18"/>
      <c r="F29" s="22"/>
      <c r="G29" s="21" t="str">
        <f aca="false">IF($B29="","",SUMIFS(SALES!$K$4:$K$63,SALES!$F$4:$F$63,$B29,SALES!$B$4:$B$63,"&gt;="&amp;SETTINGS!$W$7,SALES!$B$4:$B$63,"&lt;="&amp;SETTINGS!$W$8))</f>
        <v/>
      </c>
      <c r="H29" s="21" t="str">
        <f aca="false">IF($B29="","",SUMIFS(SALES!$N$4:$N$63,SALES!$F$4:$F$63,$B29))</f>
        <v/>
      </c>
      <c r="I29" s="24" t="str">
        <f aca="false">IF($B29="","",COUNTIFS(SALES!$F$4:$F$63,$B29))</f>
        <v/>
      </c>
      <c r="J29" s="21" t="str">
        <f aca="false">IF(OR($B29="",$I29=0),"",SUMIFS(SALES!$K$4:$K$63,SALES!$F$4:$F$63,$B29)/$I29)</f>
        <v/>
      </c>
      <c r="K29" s="18"/>
    </row>
    <row r="30" customFormat="false" ht="15" hidden="false" customHeight="false" outlineLevel="0" collapsed="false">
      <c r="A30" s="18"/>
      <c r="B30" s="18"/>
      <c r="C30" s="18"/>
      <c r="D30" s="17"/>
      <c r="E30" s="18"/>
      <c r="F30" s="22"/>
      <c r="G30" s="21" t="str">
        <f aca="false">IF($B30="","",SUMIFS(SALES!$K$4:$K$63,SALES!$F$4:$F$63,$B30,SALES!$B$4:$B$63,"&gt;="&amp;SETTINGS!$W$7,SALES!$B$4:$B$63,"&lt;="&amp;SETTINGS!$W$8))</f>
        <v/>
      </c>
      <c r="H30" s="21" t="str">
        <f aca="false">IF($B30="","",SUMIFS(SALES!$N$4:$N$63,SALES!$F$4:$F$63,$B30))</f>
        <v/>
      </c>
      <c r="I30" s="24" t="str">
        <f aca="false">IF($B30="","",COUNTIFS(SALES!$F$4:$F$63,$B30))</f>
        <v/>
      </c>
      <c r="J30" s="21" t="str">
        <f aca="false">IF(OR($B30="",$I30=0),"",SUMIFS(SALES!$K$4:$K$63,SALES!$F$4:$F$63,$B30)/$I30)</f>
        <v/>
      </c>
      <c r="K30" s="18"/>
    </row>
    <row r="31" customFormat="false" ht="15" hidden="false" customHeight="false" outlineLevel="0" collapsed="false">
      <c r="A31" s="18"/>
      <c r="B31" s="18"/>
      <c r="C31" s="18"/>
      <c r="D31" s="17"/>
      <c r="E31" s="18"/>
      <c r="F31" s="22"/>
      <c r="G31" s="21" t="str">
        <f aca="false">IF($B31="","",SUMIFS(SALES!$K$4:$K$63,SALES!$F$4:$F$63,$B31,SALES!$B$4:$B$63,"&gt;="&amp;SETTINGS!$W$7,SALES!$B$4:$B$63,"&lt;="&amp;SETTINGS!$W$8))</f>
        <v/>
      </c>
      <c r="H31" s="21" t="str">
        <f aca="false">IF($B31="","",SUMIFS(SALES!$N$4:$N$63,SALES!$F$4:$F$63,$B31))</f>
        <v/>
      </c>
      <c r="I31" s="24" t="str">
        <f aca="false">IF($B31="","",COUNTIFS(SALES!$F$4:$F$63,$B31))</f>
        <v/>
      </c>
      <c r="J31" s="21" t="str">
        <f aca="false">IF(OR($B31="",$I31=0),"",SUMIFS(SALES!$K$4:$K$63,SALES!$F$4:$F$63,$B31)/$I31)</f>
        <v/>
      </c>
      <c r="K31" s="18"/>
    </row>
    <row r="32" customFormat="false" ht="15" hidden="false" customHeight="false" outlineLevel="0" collapsed="false">
      <c r="A32" s="18"/>
      <c r="B32" s="18"/>
      <c r="C32" s="18"/>
      <c r="D32" s="17"/>
      <c r="E32" s="18"/>
      <c r="F32" s="22"/>
      <c r="G32" s="21" t="str">
        <f aca="false">IF($B32="","",SUMIFS(SALES!$K$4:$K$63,SALES!$F$4:$F$63,$B32,SALES!$B$4:$B$63,"&gt;="&amp;SETTINGS!$W$7,SALES!$B$4:$B$63,"&lt;="&amp;SETTINGS!$W$8))</f>
        <v/>
      </c>
      <c r="H32" s="21" t="str">
        <f aca="false">IF($B32="","",SUMIFS(SALES!$N$4:$N$63,SALES!$F$4:$F$63,$B32))</f>
        <v/>
      </c>
      <c r="I32" s="24" t="str">
        <f aca="false">IF($B32="","",COUNTIFS(SALES!$F$4:$F$63,$B32))</f>
        <v/>
      </c>
      <c r="J32" s="21" t="str">
        <f aca="false">IF(OR($B32="",$I32=0),"",SUMIFS(SALES!$K$4:$K$63,SALES!$F$4:$F$63,$B32)/$I32)</f>
        <v/>
      </c>
      <c r="K32" s="18"/>
    </row>
    <row r="33" customFormat="false" ht="15" hidden="false" customHeight="false" outlineLevel="0" collapsed="false">
      <c r="A33" s="18"/>
      <c r="B33" s="18"/>
      <c r="C33" s="18"/>
      <c r="D33" s="17"/>
      <c r="E33" s="18"/>
      <c r="F33" s="22"/>
      <c r="G33" s="21" t="str">
        <f aca="false">IF($B33="","",SUMIFS(SALES!$K$4:$K$63,SALES!$F$4:$F$63,$B33,SALES!$B$4:$B$63,"&gt;="&amp;SETTINGS!$W$7,SALES!$B$4:$B$63,"&lt;="&amp;SETTINGS!$W$8))</f>
        <v/>
      </c>
      <c r="H33" s="21" t="str">
        <f aca="false">IF($B33="","",SUMIFS(SALES!$N$4:$N$63,SALES!$F$4:$F$63,$B33))</f>
        <v/>
      </c>
      <c r="I33" s="24" t="str">
        <f aca="false">IF($B33="","",COUNTIFS(SALES!$F$4:$F$63,$B33))</f>
        <v/>
      </c>
      <c r="J33" s="21" t="str">
        <f aca="false">IF(OR($B33="",$I33=0),"",SUMIFS(SALES!$K$4:$K$63,SALES!$F$4:$F$63,$B33)/$I33)</f>
        <v/>
      </c>
      <c r="K33" s="18"/>
    </row>
    <row r="34" customFormat="false" ht="15" hidden="false" customHeight="false" outlineLevel="0" collapsed="false">
      <c r="A34" s="18"/>
      <c r="B34" s="18"/>
      <c r="C34" s="18"/>
      <c r="D34" s="17"/>
      <c r="E34" s="18"/>
      <c r="F34" s="22"/>
      <c r="G34" s="21" t="str">
        <f aca="false">IF($B34="","",SUMIFS(SALES!$K$4:$K$63,SALES!$F$4:$F$63,$B34,SALES!$B$4:$B$63,"&gt;="&amp;SETTINGS!$W$7,SALES!$B$4:$B$63,"&lt;="&amp;SETTINGS!$W$8))</f>
        <v/>
      </c>
      <c r="H34" s="21" t="str">
        <f aca="false">IF($B34="","",SUMIFS(SALES!$N$4:$N$63,SALES!$F$4:$F$63,$B34))</f>
        <v/>
      </c>
      <c r="I34" s="24" t="str">
        <f aca="false">IF($B34="","",COUNTIFS(SALES!$F$4:$F$63,$B34))</f>
        <v/>
      </c>
      <c r="J34" s="21" t="str">
        <f aca="false">IF(OR($B34="",$I34=0),"",SUMIFS(SALES!$K$4:$K$63,SALES!$F$4:$F$63,$B34)/$I34)</f>
        <v/>
      </c>
      <c r="K34" s="18"/>
    </row>
    <row r="35" customFormat="false" ht="15" hidden="false" customHeight="false" outlineLevel="0" collapsed="false">
      <c r="A35" s="18"/>
      <c r="B35" s="18"/>
      <c r="C35" s="18"/>
      <c r="D35" s="17"/>
      <c r="E35" s="18"/>
      <c r="F35" s="22"/>
      <c r="G35" s="21" t="str">
        <f aca="false">IF($B35="","",SUMIFS(SALES!$K$4:$K$63,SALES!$F$4:$F$63,$B35,SALES!$B$4:$B$63,"&gt;="&amp;SETTINGS!$W$7,SALES!$B$4:$B$63,"&lt;="&amp;SETTINGS!$W$8))</f>
        <v/>
      </c>
      <c r="H35" s="21" t="str">
        <f aca="false">IF($B35="","",SUMIFS(SALES!$N$4:$N$63,SALES!$F$4:$F$63,$B35))</f>
        <v/>
      </c>
      <c r="I35" s="24" t="str">
        <f aca="false">IF($B35="","",COUNTIFS(SALES!$F$4:$F$63,$B35))</f>
        <v/>
      </c>
      <c r="J35" s="21" t="str">
        <f aca="false">IF(OR($B35="",$I35=0),"",SUMIFS(SALES!$K$4:$K$63,SALES!$F$4:$F$63,$B35)/$I35)</f>
        <v/>
      </c>
      <c r="K35" s="18"/>
    </row>
    <row r="36" customFormat="false" ht="15" hidden="false" customHeight="false" outlineLevel="0" collapsed="false">
      <c r="A36" s="18"/>
      <c r="B36" s="18"/>
      <c r="C36" s="18"/>
      <c r="D36" s="17"/>
      <c r="E36" s="18"/>
      <c r="F36" s="22"/>
      <c r="G36" s="21" t="str">
        <f aca="false">IF($B36="","",SUMIFS(SALES!$K$4:$K$63,SALES!$F$4:$F$63,$B36,SALES!$B$4:$B$63,"&gt;="&amp;SETTINGS!$W$7,SALES!$B$4:$B$63,"&lt;="&amp;SETTINGS!$W$8))</f>
        <v/>
      </c>
      <c r="H36" s="21" t="str">
        <f aca="false">IF($B36="","",SUMIFS(SALES!$N$4:$N$63,SALES!$F$4:$F$63,$B36))</f>
        <v/>
      </c>
      <c r="I36" s="24" t="str">
        <f aca="false">IF($B36="","",COUNTIFS(SALES!$F$4:$F$63,$B36))</f>
        <v/>
      </c>
      <c r="J36" s="21" t="str">
        <f aca="false">IF(OR($B36="",$I36=0),"",SUMIFS(SALES!$K$4:$K$63,SALES!$F$4:$F$63,$B36)/$I36)</f>
        <v/>
      </c>
      <c r="K36" s="18"/>
    </row>
    <row r="37" customFormat="false" ht="15" hidden="false" customHeight="false" outlineLevel="0" collapsed="false">
      <c r="A37" s="18"/>
      <c r="B37" s="18"/>
      <c r="C37" s="18"/>
      <c r="D37" s="17"/>
      <c r="E37" s="18"/>
      <c r="F37" s="22"/>
      <c r="G37" s="21" t="str">
        <f aca="false">IF($B37="","",SUMIFS(SALES!$K$4:$K$63,SALES!$F$4:$F$63,$B37,SALES!$B$4:$B$63,"&gt;="&amp;SETTINGS!$W$7,SALES!$B$4:$B$63,"&lt;="&amp;SETTINGS!$W$8))</f>
        <v/>
      </c>
      <c r="H37" s="21" t="str">
        <f aca="false">IF($B37="","",SUMIFS(SALES!$N$4:$N$63,SALES!$F$4:$F$63,$B37))</f>
        <v/>
      </c>
      <c r="I37" s="24" t="str">
        <f aca="false">IF($B37="","",COUNTIFS(SALES!$F$4:$F$63,$B37))</f>
        <v/>
      </c>
      <c r="J37" s="21" t="str">
        <f aca="false">IF(OR($B37="",$I37=0),"",SUMIFS(SALES!$K$4:$K$63,SALES!$F$4:$F$63,$B37)/$I37)</f>
        <v/>
      </c>
      <c r="K37" s="18"/>
    </row>
    <row r="38" customFormat="false" ht="15" hidden="false" customHeight="false" outlineLevel="0" collapsed="false">
      <c r="A38" s="18"/>
      <c r="B38" s="18"/>
      <c r="C38" s="18"/>
      <c r="D38" s="17"/>
      <c r="E38" s="18"/>
      <c r="F38" s="22"/>
      <c r="G38" s="21" t="str">
        <f aca="false">IF($B38="","",SUMIFS(SALES!$K$4:$K$63,SALES!$F$4:$F$63,$B38,SALES!$B$4:$B$63,"&gt;="&amp;SETTINGS!$W$7,SALES!$B$4:$B$63,"&lt;="&amp;SETTINGS!$W$8))</f>
        <v/>
      </c>
      <c r="H38" s="21" t="str">
        <f aca="false">IF($B38="","",SUMIFS(SALES!$N$4:$N$63,SALES!$F$4:$F$63,$B38))</f>
        <v/>
      </c>
      <c r="I38" s="24" t="str">
        <f aca="false">IF($B38="","",COUNTIFS(SALES!$F$4:$F$63,$B38))</f>
        <v/>
      </c>
      <c r="J38" s="21" t="str">
        <f aca="false">IF(OR($B38="",$I38=0),"",SUMIFS(SALES!$K$4:$K$63,SALES!$F$4:$F$63,$B38)/$I38)</f>
        <v/>
      </c>
      <c r="K38" s="18"/>
    </row>
    <row r="39" customFormat="false" ht="15" hidden="false" customHeight="false" outlineLevel="0" collapsed="false">
      <c r="A39" s="18"/>
      <c r="B39" s="18"/>
      <c r="C39" s="18"/>
      <c r="D39" s="17"/>
      <c r="E39" s="18"/>
      <c r="F39" s="22"/>
      <c r="G39" s="21" t="str">
        <f aca="false">IF($B39="","",SUMIFS(SALES!$K$4:$K$63,SALES!$F$4:$F$63,$B39,SALES!$B$4:$B$63,"&gt;="&amp;SETTINGS!$W$7,SALES!$B$4:$B$63,"&lt;="&amp;SETTINGS!$W$8))</f>
        <v/>
      </c>
      <c r="H39" s="21" t="str">
        <f aca="false">IF($B39="","",SUMIFS(SALES!$N$4:$N$63,SALES!$F$4:$F$63,$B39))</f>
        <v/>
      </c>
      <c r="I39" s="24" t="str">
        <f aca="false">IF($B39="","",COUNTIFS(SALES!$F$4:$F$63,$B39))</f>
        <v/>
      </c>
      <c r="J39" s="21" t="str">
        <f aca="false">IF(OR($B39="",$I39=0),"",SUMIFS(SALES!$K$4:$K$63,SALES!$F$4:$F$63,$B39)/$I39)</f>
        <v/>
      </c>
      <c r="K39" s="18"/>
    </row>
    <row r="40" customFormat="false" ht="15" hidden="false" customHeight="false" outlineLevel="0" collapsed="false">
      <c r="A40" s="18"/>
      <c r="B40" s="18"/>
      <c r="C40" s="18"/>
      <c r="D40" s="17"/>
      <c r="E40" s="18"/>
      <c r="F40" s="22"/>
      <c r="G40" s="21" t="str">
        <f aca="false">IF($B40="","",SUMIFS(SALES!$K$4:$K$63,SALES!$F$4:$F$63,$B40,SALES!$B$4:$B$63,"&gt;="&amp;SETTINGS!$W$7,SALES!$B$4:$B$63,"&lt;="&amp;SETTINGS!$W$8))</f>
        <v/>
      </c>
      <c r="H40" s="21" t="str">
        <f aca="false">IF($B40="","",SUMIFS(SALES!$N$4:$N$63,SALES!$F$4:$F$63,$B40))</f>
        <v/>
      </c>
      <c r="I40" s="24" t="str">
        <f aca="false">IF($B40="","",COUNTIFS(SALES!$F$4:$F$63,$B40))</f>
        <v/>
      </c>
      <c r="J40" s="21" t="str">
        <f aca="false">IF(OR($B40="",$I40=0),"",SUMIFS(SALES!$K$4:$K$63,SALES!$F$4:$F$63,$B40)/$I40)</f>
        <v/>
      </c>
      <c r="K40" s="18"/>
    </row>
    <row r="41" customFormat="false" ht="15" hidden="false" customHeight="false" outlineLevel="0" collapsed="false">
      <c r="A41" s="18"/>
      <c r="B41" s="18"/>
      <c r="C41" s="18"/>
      <c r="D41" s="17"/>
      <c r="E41" s="18"/>
      <c r="F41" s="22"/>
      <c r="G41" s="21" t="str">
        <f aca="false">IF($B41="","",SUMIFS(SALES!$K$4:$K$63,SALES!$F$4:$F$63,$B41,SALES!$B$4:$B$63,"&gt;="&amp;SETTINGS!$W$7,SALES!$B$4:$B$63,"&lt;="&amp;SETTINGS!$W$8))</f>
        <v/>
      </c>
      <c r="H41" s="21" t="str">
        <f aca="false">IF($B41="","",SUMIFS(SALES!$N$4:$N$63,SALES!$F$4:$F$63,$B41))</f>
        <v/>
      </c>
      <c r="I41" s="24" t="str">
        <f aca="false">IF($B41="","",COUNTIFS(SALES!$F$4:$F$63,$B41))</f>
        <v/>
      </c>
      <c r="J41" s="21" t="str">
        <f aca="false">IF(OR($B41="",$I41=0),"",SUMIFS(SALES!$K$4:$K$63,SALES!$F$4:$F$63,$B41)/$I41)</f>
        <v/>
      </c>
      <c r="K41" s="18"/>
    </row>
    <row r="42" customFormat="false" ht="15" hidden="false" customHeight="false" outlineLevel="0" collapsed="false">
      <c r="A42" s="18"/>
      <c r="B42" s="18"/>
      <c r="C42" s="18"/>
      <c r="D42" s="17"/>
      <c r="E42" s="18"/>
      <c r="F42" s="22"/>
      <c r="G42" s="21" t="str">
        <f aca="false">IF($B42="","",SUMIFS(SALES!$K$4:$K$63,SALES!$F$4:$F$63,$B42,SALES!$B$4:$B$63,"&gt;="&amp;SETTINGS!$W$7,SALES!$B$4:$B$63,"&lt;="&amp;SETTINGS!$W$8))</f>
        <v/>
      </c>
      <c r="H42" s="21" t="str">
        <f aca="false">IF($B42="","",SUMIFS(SALES!$N$4:$N$63,SALES!$F$4:$F$63,$B42))</f>
        <v/>
      </c>
      <c r="I42" s="24" t="str">
        <f aca="false">IF($B42="","",COUNTIFS(SALES!$F$4:$F$63,$B42))</f>
        <v/>
      </c>
      <c r="J42" s="21" t="str">
        <f aca="false">IF(OR($B42="",$I42=0),"",SUMIFS(SALES!$K$4:$K$63,SALES!$F$4:$F$63,$B42)/$I42)</f>
        <v/>
      </c>
      <c r="K42" s="18"/>
    </row>
    <row r="43" customFormat="false" ht="15" hidden="false" customHeight="false" outlineLevel="0" collapsed="false">
      <c r="A43" s="18"/>
      <c r="B43" s="18"/>
      <c r="C43" s="18"/>
      <c r="D43" s="17"/>
      <c r="E43" s="18"/>
      <c r="F43" s="22"/>
      <c r="G43" s="21" t="str">
        <f aca="false">IF($B43="","",SUMIFS(SALES!$K$4:$K$63,SALES!$F$4:$F$63,$B43,SALES!$B$4:$B$63,"&gt;="&amp;SETTINGS!$W$7,SALES!$B$4:$B$63,"&lt;="&amp;SETTINGS!$W$8))</f>
        <v/>
      </c>
      <c r="H43" s="21" t="str">
        <f aca="false">IF($B43="","",SUMIFS(SALES!$N$4:$N$63,SALES!$F$4:$F$63,$B43))</f>
        <v/>
      </c>
      <c r="I43" s="24" t="str">
        <f aca="false">IF($B43="","",COUNTIFS(SALES!$F$4:$F$63,$B43))</f>
        <v/>
      </c>
      <c r="J43" s="21" t="str">
        <f aca="false">IF(OR($B43="",$I43=0),"",SUMIFS(SALES!$K$4:$K$63,SALES!$F$4:$F$63,$B43)/$I43)</f>
        <v/>
      </c>
      <c r="K43" s="18"/>
    </row>
  </sheetData>
  <sheetProtection sheet="true" password="c7e9" objects="true" scenarios="true" sort="false" autoFilter="false"/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B4:B43" type="list">
      <formula1>SETTINGS!$B$5:$B$8</formula1>
      <formula2>0</formula2>
    </dataValidation>
    <dataValidation allowBlank="true" errorStyle="stop" operator="between" showDropDown="false" showErrorMessage="false" showInputMessage="false" sqref="E4:E43" type="list">
      <formula1>SETTINGS!$N$5:$N$6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5" min="3" style="0" width="13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11" min="8" style="0" width="13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1" t="s">
        <v>533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534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15" t="s">
        <v>535</v>
      </c>
      <c r="B3" s="15" t="s">
        <v>194</v>
      </c>
      <c r="C3" s="15" t="s">
        <v>195</v>
      </c>
      <c r="D3" s="15" t="s">
        <v>536</v>
      </c>
      <c r="E3" s="15" t="s">
        <v>537</v>
      </c>
      <c r="F3" s="15" t="s">
        <v>538</v>
      </c>
      <c r="G3" s="15" t="s">
        <v>539</v>
      </c>
      <c r="H3" s="15" t="s">
        <v>540</v>
      </c>
      <c r="I3" s="15" t="s">
        <v>541</v>
      </c>
      <c r="J3" s="15" t="s">
        <v>542</v>
      </c>
      <c r="K3" s="15" t="s">
        <v>543</v>
      </c>
      <c r="L3" s="15" t="s">
        <v>221</v>
      </c>
    </row>
    <row r="4" customFormat="false" ht="15" hidden="false" customHeight="false" outlineLevel="0" collapsed="false">
      <c r="A4" s="18" t="s">
        <v>544</v>
      </c>
      <c r="B4" s="18" t="s">
        <v>234</v>
      </c>
      <c r="C4" s="18" t="s">
        <v>235</v>
      </c>
      <c r="D4" s="18" t="s">
        <v>545</v>
      </c>
      <c r="E4" s="18" t="s">
        <v>546</v>
      </c>
      <c r="F4" s="18" t="s">
        <v>547</v>
      </c>
      <c r="G4" s="18"/>
      <c r="H4" s="18"/>
      <c r="I4" s="18" t="s">
        <v>548</v>
      </c>
      <c r="J4" s="21" t="n">
        <f aca="false">IF($B4="","",SUMIFS('INVENTORY MASTER'!$AI$4:$AI$63,'INVENTORY MASTER'!$AA$4:$AA$63,$B4))</f>
        <v>8100</v>
      </c>
      <c r="K4" s="22" t="n">
        <v>0</v>
      </c>
      <c r="L4" s="18" t="s">
        <v>527</v>
      </c>
    </row>
    <row r="5" customFormat="false" ht="15" hidden="false" customHeight="false" outlineLevel="0" collapsed="false">
      <c r="A5" s="18" t="s">
        <v>549</v>
      </c>
      <c r="B5" s="18" t="s">
        <v>259</v>
      </c>
      <c r="C5" s="18" t="s">
        <v>260</v>
      </c>
      <c r="D5" s="18" t="s">
        <v>550</v>
      </c>
      <c r="E5" s="18" t="s">
        <v>551</v>
      </c>
      <c r="F5" s="18" t="s">
        <v>552</v>
      </c>
      <c r="G5" s="18"/>
      <c r="H5" s="18"/>
      <c r="I5" s="18" t="s">
        <v>553</v>
      </c>
      <c r="J5" s="21" t="n">
        <f aca="false">IF($B5="","",SUMIFS('INVENTORY MASTER'!$AI$4:$AI$63,'INVENTORY MASTER'!$AA$4:$AA$63,$B5))</f>
        <v>3550</v>
      </c>
      <c r="K5" s="22" t="n">
        <v>0</v>
      </c>
      <c r="L5" s="18" t="s">
        <v>527</v>
      </c>
    </row>
    <row r="6" customFormat="false" ht="15" hidden="false" customHeight="false" outlineLevel="0" collapsed="false">
      <c r="A6" s="18" t="s">
        <v>554</v>
      </c>
      <c r="B6" s="18" t="s">
        <v>291</v>
      </c>
      <c r="C6" s="18" t="s">
        <v>292</v>
      </c>
      <c r="D6" s="18" t="s">
        <v>555</v>
      </c>
      <c r="E6" s="18" t="s">
        <v>556</v>
      </c>
      <c r="F6" s="18" t="s">
        <v>557</v>
      </c>
      <c r="G6" s="18"/>
      <c r="H6" s="18"/>
      <c r="I6" s="18" t="s">
        <v>558</v>
      </c>
      <c r="J6" s="21" t="n">
        <f aca="false">IF($B6="","",SUMIFS('INVENTORY MASTER'!$AI$4:$AI$63,'INVENTORY MASTER'!$AA$4:$AA$63,$B6))</f>
        <v>3150</v>
      </c>
      <c r="K6" s="22" t="n">
        <v>0</v>
      </c>
      <c r="L6" s="18" t="s">
        <v>527</v>
      </c>
    </row>
    <row r="7" customFormat="false" ht="15" hidden="false" customHeight="fals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21" t="str">
        <f aca="false">IF($B7="","",SUMIFS('INVENTORY MASTER'!$AI$4:$AI$63,'INVENTORY MASTER'!$AA$4:$AA$63,$B7))</f>
        <v/>
      </c>
      <c r="K7" s="22"/>
      <c r="L7" s="18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21" t="str">
        <f aca="false">IF($B8="","",SUMIFS('INVENTORY MASTER'!$AI$4:$AI$63,'INVENTORY MASTER'!$AA$4:$AA$63,$B8))</f>
        <v/>
      </c>
      <c r="K8" s="22"/>
      <c r="L8" s="18"/>
    </row>
    <row r="9" customFormat="false" ht="15" hidden="false" customHeight="fals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21" t="str">
        <f aca="false">IF($B9="","",SUMIFS('INVENTORY MASTER'!$AI$4:$AI$63,'INVENTORY MASTER'!$AA$4:$AA$63,$B9))</f>
        <v/>
      </c>
      <c r="K9" s="22"/>
      <c r="L9" s="18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21" t="str">
        <f aca="false">IF($B10="","",SUMIFS('INVENTORY MASTER'!$AI$4:$AI$63,'INVENTORY MASTER'!$AA$4:$AA$63,$B10))</f>
        <v/>
      </c>
      <c r="K10" s="22"/>
      <c r="L10" s="18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21" t="str">
        <f aca="false">IF($B11="","",SUMIFS('INVENTORY MASTER'!$AI$4:$AI$63,'INVENTORY MASTER'!$AA$4:$AA$63,$B11))</f>
        <v/>
      </c>
      <c r="K11" s="22"/>
      <c r="L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21" t="str">
        <f aca="false">IF($B12="","",SUMIFS('INVENTORY MASTER'!$AI$4:$AI$63,'INVENTORY MASTER'!$AA$4:$AA$63,$B12))</f>
        <v/>
      </c>
      <c r="K12" s="22"/>
      <c r="L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21" t="str">
        <f aca="false">IF($B13="","",SUMIFS('INVENTORY MASTER'!$AI$4:$AI$63,'INVENTORY MASTER'!$AA$4:$AA$63,$B13))</f>
        <v/>
      </c>
      <c r="K13" s="22"/>
      <c r="L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21" t="str">
        <f aca="false">IF($B14="","",SUMIFS('INVENTORY MASTER'!$AI$4:$AI$63,'INVENTORY MASTER'!$AA$4:$AA$63,$B14))</f>
        <v/>
      </c>
      <c r="K14" s="22"/>
      <c r="L14" s="18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21" t="str">
        <f aca="false">IF($B15="","",SUMIFS('INVENTORY MASTER'!$AI$4:$AI$63,'INVENTORY MASTER'!$AA$4:$AA$63,$B15))</f>
        <v/>
      </c>
      <c r="K15" s="22"/>
      <c r="L15" s="18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21" t="str">
        <f aca="false">IF($B16="","",SUMIFS('INVENTORY MASTER'!$AI$4:$AI$63,'INVENTORY MASTER'!$AA$4:$AA$63,$B16))</f>
        <v/>
      </c>
      <c r="K16" s="22"/>
      <c r="L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21" t="str">
        <f aca="false">IF($B17="","",SUMIFS('INVENTORY MASTER'!$AI$4:$AI$63,'INVENTORY MASTER'!$AA$4:$AA$63,$B17))</f>
        <v/>
      </c>
      <c r="K17" s="22"/>
      <c r="L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21" t="str">
        <f aca="false">IF($B18="","",SUMIFS('INVENTORY MASTER'!$AI$4:$AI$63,'INVENTORY MASTER'!$AA$4:$AA$63,$B18))</f>
        <v/>
      </c>
      <c r="K18" s="22"/>
      <c r="L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21" t="str">
        <f aca="false">IF($B19="","",SUMIFS('INVENTORY MASTER'!$AI$4:$AI$63,'INVENTORY MASTER'!$AA$4:$AA$63,$B19))</f>
        <v/>
      </c>
      <c r="K19" s="22"/>
      <c r="L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21" t="str">
        <f aca="false">IF($B20="","",SUMIFS('INVENTORY MASTER'!$AI$4:$AI$63,'INVENTORY MASTER'!$AA$4:$AA$63,$B20))</f>
        <v/>
      </c>
      <c r="K20" s="22"/>
      <c r="L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21" t="str">
        <f aca="false">IF($B21="","",SUMIFS('INVENTORY MASTER'!$AI$4:$AI$63,'INVENTORY MASTER'!$AA$4:$AA$63,$B21))</f>
        <v/>
      </c>
      <c r="K21" s="22"/>
      <c r="L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21" t="str">
        <f aca="false">IF($B22="","",SUMIFS('INVENTORY MASTER'!$AI$4:$AI$63,'INVENTORY MASTER'!$AA$4:$AA$63,$B22))</f>
        <v/>
      </c>
      <c r="K22" s="22"/>
      <c r="L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21" t="str">
        <f aca="false">IF($B23="","",SUMIFS('INVENTORY MASTER'!$AI$4:$AI$63,'INVENTORY MASTER'!$AA$4:$AA$63,$B23))</f>
        <v/>
      </c>
      <c r="K23" s="22"/>
      <c r="L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21" t="str">
        <f aca="false">IF($B24="","",SUMIFS('INVENTORY MASTER'!$AI$4:$AI$63,'INVENTORY MASTER'!$AA$4:$AA$63,$B24))</f>
        <v/>
      </c>
      <c r="K24" s="22"/>
      <c r="L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21" t="str">
        <f aca="false">IF($B25="","",SUMIFS('INVENTORY MASTER'!$AI$4:$AI$63,'INVENTORY MASTER'!$AA$4:$AA$63,$B25))</f>
        <v/>
      </c>
      <c r="K25" s="22"/>
      <c r="L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21" t="str">
        <f aca="false">IF($B26="","",SUMIFS('INVENTORY MASTER'!$AI$4:$AI$63,'INVENTORY MASTER'!$AA$4:$AA$63,$B26))</f>
        <v/>
      </c>
      <c r="K26" s="22"/>
      <c r="L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21" t="str">
        <f aca="false">IF($B27="","",SUMIFS('INVENTORY MASTER'!$AI$4:$AI$63,'INVENTORY MASTER'!$AA$4:$AA$63,$B27))</f>
        <v/>
      </c>
      <c r="K27" s="22"/>
      <c r="L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21" t="str">
        <f aca="false">IF($B28="","",SUMIFS('INVENTORY MASTER'!$AI$4:$AI$63,'INVENTORY MASTER'!$AA$4:$AA$63,$B28))</f>
        <v/>
      </c>
      <c r="K28" s="22"/>
      <c r="L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21" t="str">
        <f aca="false">IF($B29="","",SUMIFS('INVENTORY MASTER'!$AI$4:$AI$63,'INVENTORY MASTER'!$AA$4:$AA$63,$B29))</f>
        <v/>
      </c>
      <c r="K29" s="22"/>
      <c r="L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21" t="str">
        <f aca="false">IF($B30="","",SUMIFS('INVENTORY MASTER'!$AI$4:$AI$63,'INVENTORY MASTER'!$AA$4:$AA$63,$B30))</f>
        <v/>
      </c>
      <c r="K30" s="22"/>
      <c r="L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21" t="str">
        <f aca="false">IF($B31="","",SUMIFS('INVENTORY MASTER'!$AI$4:$AI$63,'INVENTORY MASTER'!$AA$4:$AA$63,$B31))</f>
        <v/>
      </c>
      <c r="K31" s="22"/>
      <c r="L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21" t="str">
        <f aca="false">IF($B32="","",SUMIFS('INVENTORY MASTER'!$AI$4:$AI$63,'INVENTORY MASTER'!$AA$4:$AA$63,$B32))</f>
        <v/>
      </c>
      <c r="K32" s="22"/>
      <c r="L32" s="18"/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21" t="str">
        <f aca="false">IF($B33="","",SUMIFS('INVENTORY MASTER'!$AI$4:$AI$63,'INVENTORY MASTER'!$AA$4:$AA$63,$B33))</f>
        <v/>
      </c>
      <c r="K33" s="22"/>
      <c r="L33" s="18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21" t="str">
        <f aca="false">IF($B34="","",SUMIFS('INVENTORY MASTER'!$AI$4:$AI$63,'INVENTORY MASTER'!$AA$4:$AA$63,$B34))</f>
        <v/>
      </c>
      <c r="K34" s="22"/>
      <c r="L34" s="18"/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21" t="str">
        <f aca="false">IF($B35="","",SUMIFS('INVENTORY MASTER'!$AI$4:$AI$63,'INVENTORY MASTER'!$AA$4:$AA$63,$B35))</f>
        <v/>
      </c>
      <c r="K35" s="22"/>
      <c r="L35" s="18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21" t="str">
        <f aca="false">IF($B36="","",SUMIFS('INVENTORY MASTER'!$AI$4:$AI$63,'INVENTORY MASTER'!$AA$4:$AA$63,$B36))</f>
        <v/>
      </c>
      <c r="K36" s="22"/>
      <c r="L36" s="18"/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21" t="str">
        <f aca="false">IF($B37="","",SUMIFS('INVENTORY MASTER'!$AI$4:$AI$63,'INVENTORY MASTER'!$AA$4:$AA$63,$B37))</f>
        <v/>
      </c>
      <c r="K37" s="22"/>
      <c r="L37" s="18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21" t="str">
        <f aca="false">IF($B38="","",SUMIFS('INVENTORY MASTER'!$AI$4:$AI$63,'INVENTORY MASTER'!$AA$4:$AA$63,$B38))</f>
        <v/>
      </c>
      <c r="K38" s="22"/>
      <c r="L38" s="18"/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21" t="str">
        <f aca="false">IF($B39="","",SUMIFS('INVENTORY MASTER'!$AI$4:$AI$63,'INVENTORY MASTER'!$AA$4:$AA$63,$B39))</f>
        <v/>
      </c>
      <c r="K39" s="22"/>
      <c r="L39" s="18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21" t="str">
        <f aca="false">IF($B40="","",SUMIFS('INVENTORY MASTER'!$AI$4:$AI$63,'INVENTORY MASTER'!$AA$4:$AA$63,$B40))</f>
        <v/>
      </c>
      <c r="K40" s="22"/>
      <c r="L40" s="18"/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21" t="str">
        <f aca="false">IF($B41="","",SUMIFS('INVENTORY MASTER'!$AI$4:$AI$63,'INVENTORY MASTER'!$AA$4:$AA$63,$B41))</f>
        <v/>
      </c>
      <c r="K41" s="22"/>
      <c r="L41" s="18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21" t="str">
        <f aca="false">IF($B42="","",SUMIFS('INVENTORY MASTER'!$AI$4:$AI$63,'INVENTORY MASTER'!$AA$4:$AA$63,$B42))</f>
        <v/>
      </c>
      <c r="K42" s="22"/>
      <c r="L42" s="18"/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21" t="str">
        <f aca="false">IF($B43="","",SUMIFS('INVENTORY MASTER'!$AI$4:$AI$63,'INVENTORY MASTER'!$AA$4:$AA$63,$B43))</f>
        <v/>
      </c>
      <c r="K43" s="22"/>
      <c r="L43" s="18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21" t="str">
        <f aca="false">IF($B44="","",SUMIFS('INVENTORY MASTER'!$AI$4:$AI$63,'INVENTORY MASTER'!$AA$4:$AA$63,$B44))</f>
        <v/>
      </c>
      <c r="K44" s="22"/>
      <c r="L44" s="18"/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21" t="str">
        <f aca="false">IF($B45="","",SUMIFS('INVENTORY MASTER'!$AI$4:$AI$63,'INVENTORY MASTER'!$AA$4:$AA$63,$B45))</f>
        <v/>
      </c>
      <c r="K45" s="22"/>
      <c r="L45" s="18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21" t="str">
        <f aca="false">IF($B46="","",SUMIFS('INVENTORY MASTER'!$AI$4:$AI$63,'INVENTORY MASTER'!$AA$4:$AA$63,$B46))</f>
        <v/>
      </c>
      <c r="K46" s="22"/>
      <c r="L46" s="18"/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21" t="str">
        <f aca="false">IF($B47="","",SUMIFS('INVENTORY MASTER'!$AI$4:$AI$63,'INVENTORY MASTER'!$AA$4:$AA$63,$B47))</f>
        <v/>
      </c>
      <c r="K47" s="22"/>
      <c r="L47" s="18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21" t="str">
        <f aca="false">IF($B48="","",SUMIFS('INVENTORY MASTER'!$AI$4:$AI$63,'INVENTORY MASTER'!$AA$4:$AA$63,$B48))</f>
        <v/>
      </c>
      <c r="K48" s="22"/>
      <c r="L48" s="18"/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21" t="str">
        <f aca="false">IF($B49="","",SUMIFS('INVENTORY MASTER'!$AI$4:$AI$63,'INVENTORY MASTER'!$AA$4:$AA$63,$B49))</f>
        <v/>
      </c>
      <c r="K49" s="22"/>
      <c r="L49" s="18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21" t="str">
        <f aca="false">IF($B50="","",SUMIFS('INVENTORY MASTER'!$AI$4:$AI$63,'INVENTORY MASTER'!$AA$4:$AA$63,$B50))</f>
        <v/>
      </c>
      <c r="K50" s="22"/>
      <c r="L50" s="18"/>
    </row>
    <row r="51" customFormat="false" ht="15" hidden="false" customHeight="fals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21" t="str">
        <f aca="false">IF($B51="","",SUMIFS('INVENTORY MASTER'!$AI$4:$AI$63,'INVENTORY MASTER'!$AA$4:$AA$63,$B51))</f>
        <v/>
      </c>
      <c r="K51" s="22"/>
      <c r="L51" s="18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21" t="str">
        <f aca="false">IF($B52="","",SUMIFS('INVENTORY MASTER'!$AI$4:$AI$63,'INVENTORY MASTER'!$AA$4:$AA$63,$B52))</f>
        <v/>
      </c>
      <c r="K52" s="22"/>
      <c r="L52" s="18"/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21" t="str">
        <f aca="false">IF($B53="","",SUMIFS('INVENTORY MASTER'!$AI$4:$AI$63,'INVENTORY MASTER'!$AA$4:$AA$63,$B53))</f>
        <v/>
      </c>
      <c r="K53" s="22"/>
      <c r="L53" s="18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21" t="str">
        <f aca="false">IF($B54="","",SUMIFS('INVENTORY MASTER'!$AI$4:$AI$63,'INVENTORY MASTER'!$AA$4:$AA$63,$B54))</f>
        <v/>
      </c>
      <c r="K54" s="22"/>
      <c r="L54" s="18"/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21" t="str">
        <f aca="false">IF($B55="","",SUMIFS('INVENTORY MASTER'!$AI$4:$AI$63,'INVENTORY MASTER'!$AA$4:$AA$63,$B55))</f>
        <v/>
      </c>
      <c r="K55" s="22"/>
      <c r="L55" s="18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21" t="str">
        <f aca="false">IF($B56="","",SUMIFS('INVENTORY MASTER'!$AI$4:$AI$63,'INVENTORY MASTER'!$AA$4:$AA$63,$B56))</f>
        <v/>
      </c>
      <c r="K56" s="22"/>
      <c r="L56" s="18"/>
    </row>
    <row r="57" customFormat="false" ht="15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21" t="str">
        <f aca="false">IF($B57="","",SUMIFS('INVENTORY MASTER'!$AI$4:$AI$63,'INVENTORY MASTER'!$AA$4:$AA$63,$B57))</f>
        <v/>
      </c>
      <c r="K57" s="22"/>
      <c r="L57" s="18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21" t="str">
        <f aca="false">IF($B58="","",SUMIFS('INVENTORY MASTER'!$AI$4:$AI$63,'INVENTORY MASTER'!$AA$4:$AA$63,$B58))</f>
        <v/>
      </c>
      <c r="K58" s="22"/>
      <c r="L58" s="18"/>
    </row>
    <row r="59" customFormat="false" ht="15" hidden="false" customHeight="fals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21" t="str">
        <f aca="false">IF($B59="","",SUMIFS('INVENTORY MASTER'!$AI$4:$AI$63,'INVENTORY MASTER'!$AA$4:$AA$63,$B59))</f>
        <v/>
      </c>
      <c r="K59" s="22"/>
      <c r="L59" s="18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21" t="str">
        <f aca="false">IF($B60="","",SUMIFS('INVENTORY MASTER'!$AI$4:$AI$63,'INVENTORY MASTER'!$AA$4:$AA$63,$B60))</f>
        <v/>
      </c>
      <c r="K60" s="22"/>
      <c r="L60" s="18"/>
    </row>
    <row r="61" customFormat="false" ht="15" hidden="false" customHeight="fals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21" t="str">
        <f aca="false">IF($B61="","",SUMIFS('INVENTORY MASTER'!$AI$4:$AI$63,'INVENTORY MASTER'!$AA$4:$AA$63,$B61))</f>
        <v/>
      </c>
      <c r="K61" s="22"/>
      <c r="L61" s="18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21" t="str">
        <f aca="false">IF($B62="","",SUMIFS('INVENTORY MASTER'!$AI$4:$AI$63,'INVENTORY MASTER'!$AA$4:$AA$63,$B62))</f>
        <v/>
      </c>
      <c r="K62" s="22"/>
      <c r="L62" s="18"/>
    </row>
    <row r="63" customFormat="false" ht="15" hidden="false" customHeight="fals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21" t="str">
        <f aca="false">IF($B63="","",SUMIFS('INVENTORY MASTER'!$AI$4:$AI$63,'INVENTORY MASTER'!$AA$4:$AA$63,$B63))</f>
        <v/>
      </c>
      <c r="K63" s="22"/>
      <c r="L63" s="18"/>
    </row>
  </sheetData>
  <sheetProtection sheet="true" password="c7e9" objects="true" scenarios="true" sort="false" autoFilter="false"/>
  <mergeCells count="2">
    <mergeCell ref="A1:L1"/>
    <mergeCell ref="A2:L2"/>
  </mergeCells>
  <dataValidations count="1">
    <dataValidation allowBlank="true" errorStyle="stop" operator="between" showDropDown="false" showErrorMessage="false" showInputMessage="false" sqref="C4:C63" type="list">
      <formula1>SETTINGS!$K$5:$K$12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8" min="5" style="0" width="13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559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560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15" t="s">
        <v>561</v>
      </c>
      <c r="B3" s="15" t="s">
        <v>562</v>
      </c>
      <c r="C3" s="15" t="s">
        <v>537</v>
      </c>
      <c r="D3" s="15" t="s">
        <v>538</v>
      </c>
      <c r="E3" s="15" t="s">
        <v>563</v>
      </c>
      <c r="F3" s="15" t="s">
        <v>564</v>
      </c>
      <c r="G3" s="15" t="s">
        <v>565</v>
      </c>
      <c r="H3" s="15" t="s">
        <v>566</v>
      </c>
      <c r="I3" s="15" t="s">
        <v>221</v>
      </c>
    </row>
    <row r="4" customFormat="false" ht="23.85" hidden="false" customHeight="false" outlineLevel="0" collapsed="false">
      <c r="A4" s="18" t="s">
        <v>380</v>
      </c>
      <c r="B4" s="18" t="s">
        <v>509</v>
      </c>
      <c r="C4" s="18" t="s">
        <v>567</v>
      </c>
      <c r="D4" s="18" t="s">
        <v>568</v>
      </c>
      <c r="E4" s="17" t="n">
        <v>46063</v>
      </c>
      <c r="F4" s="24" t="n">
        <f aca="false">IF($A4="","",COUNTIFS(SALES!$G$4:$G$63,$A4))</f>
        <v>1</v>
      </c>
      <c r="G4" s="21" t="n">
        <f aca="false">IF($A4="","",SUMIFS(SALES!$K$4:$K$63,SALES!$G$4:$G$63,$A4))</f>
        <v>10200</v>
      </c>
      <c r="H4" s="17" t="n">
        <v>46063</v>
      </c>
      <c r="I4" s="18" t="s">
        <v>569</v>
      </c>
    </row>
    <row r="5" customFormat="false" ht="15" hidden="false" customHeight="false" outlineLevel="0" collapsed="false">
      <c r="A5" s="18"/>
      <c r="B5" s="18"/>
      <c r="C5" s="18"/>
      <c r="D5" s="18"/>
      <c r="E5" s="17"/>
      <c r="F5" s="24" t="str">
        <f aca="false">IF($A5="","",COUNTIFS(SALES!$G$4:$G$63,$A5))</f>
        <v/>
      </c>
      <c r="G5" s="21" t="str">
        <f aca="false">IF($A5="","",SUMIFS(SALES!$K$4:$K$63,SALES!$G$4:$G$63,$A5))</f>
        <v/>
      </c>
      <c r="H5" s="17"/>
      <c r="I5" s="18"/>
    </row>
    <row r="6" customFormat="false" ht="15" hidden="false" customHeight="false" outlineLevel="0" collapsed="false">
      <c r="A6" s="18"/>
      <c r="B6" s="18"/>
      <c r="C6" s="18"/>
      <c r="D6" s="18"/>
      <c r="E6" s="17"/>
      <c r="F6" s="24" t="str">
        <f aca="false">IF($A6="","",COUNTIFS(SALES!$G$4:$G$63,$A6))</f>
        <v/>
      </c>
      <c r="G6" s="21" t="str">
        <f aca="false">IF($A6="","",SUMIFS(SALES!$K$4:$K$63,SALES!$G$4:$G$63,$A6))</f>
        <v/>
      </c>
      <c r="H6" s="17"/>
      <c r="I6" s="18"/>
    </row>
    <row r="7" customFormat="false" ht="15" hidden="false" customHeight="false" outlineLevel="0" collapsed="false">
      <c r="A7" s="18"/>
      <c r="B7" s="18"/>
      <c r="C7" s="18"/>
      <c r="D7" s="18"/>
      <c r="E7" s="17"/>
      <c r="F7" s="24" t="str">
        <f aca="false">IF($A7="","",COUNTIFS(SALES!$G$4:$G$63,$A7))</f>
        <v/>
      </c>
      <c r="G7" s="21" t="str">
        <f aca="false">IF($A7="","",SUMIFS(SALES!$K$4:$K$63,SALES!$G$4:$G$63,$A7))</f>
        <v/>
      </c>
      <c r="H7" s="17"/>
      <c r="I7" s="18"/>
    </row>
    <row r="8" customFormat="false" ht="15" hidden="false" customHeight="false" outlineLevel="0" collapsed="false">
      <c r="A8" s="18"/>
      <c r="B8" s="18"/>
      <c r="C8" s="18"/>
      <c r="D8" s="18"/>
      <c r="E8" s="17"/>
      <c r="F8" s="24" t="str">
        <f aca="false">IF($A8="","",COUNTIFS(SALES!$G$4:$G$63,$A8))</f>
        <v/>
      </c>
      <c r="G8" s="21" t="str">
        <f aca="false">IF($A8="","",SUMIFS(SALES!$K$4:$K$63,SALES!$G$4:$G$63,$A8))</f>
        <v/>
      </c>
      <c r="H8" s="17"/>
      <c r="I8" s="18"/>
    </row>
    <row r="9" customFormat="false" ht="15" hidden="false" customHeight="false" outlineLevel="0" collapsed="false">
      <c r="A9" s="18"/>
      <c r="B9" s="18"/>
      <c r="C9" s="18"/>
      <c r="D9" s="18"/>
      <c r="E9" s="17"/>
      <c r="F9" s="24" t="str">
        <f aca="false">IF($A9="","",COUNTIFS(SALES!$G$4:$G$63,$A9))</f>
        <v/>
      </c>
      <c r="G9" s="21" t="str">
        <f aca="false">IF($A9="","",SUMIFS(SALES!$K$4:$K$63,SALES!$G$4:$G$63,$A9))</f>
        <v/>
      </c>
      <c r="H9" s="17"/>
      <c r="I9" s="18"/>
    </row>
    <row r="10" customFormat="false" ht="15" hidden="false" customHeight="false" outlineLevel="0" collapsed="false">
      <c r="A10" s="18"/>
      <c r="B10" s="18"/>
      <c r="C10" s="18"/>
      <c r="D10" s="18"/>
      <c r="E10" s="17"/>
      <c r="F10" s="24" t="str">
        <f aca="false">IF($A10="","",COUNTIFS(SALES!$G$4:$G$63,$A10))</f>
        <v/>
      </c>
      <c r="G10" s="21" t="str">
        <f aca="false">IF($A10="","",SUMIFS(SALES!$K$4:$K$63,SALES!$G$4:$G$63,$A10))</f>
        <v/>
      </c>
      <c r="H10" s="17"/>
      <c r="I10" s="18"/>
    </row>
    <row r="11" customFormat="false" ht="15" hidden="false" customHeight="false" outlineLevel="0" collapsed="false">
      <c r="A11" s="18"/>
      <c r="B11" s="18"/>
      <c r="C11" s="18"/>
      <c r="D11" s="18"/>
      <c r="E11" s="17"/>
      <c r="F11" s="24" t="str">
        <f aca="false">IF($A11="","",COUNTIFS(SALES!$G$4:$G$63,$A11))</f>
        <v/>
      </c>
      <c r="G11" s="21" t="str">
        <f aca="false">IF($A11="","",SUMIFS(SALES!$K$4:$K$63,SALES!$G$4:$G$63,$A11))</f>
        <v/>
      </c>
      <c r="H11" s="17"/>
      <c r="I11" s="18"/>
    </row>
    <row r="12" customFormat="false" ht="15" hidden="false" customHeight="false" outlineLevel="0" collapsed="false">
      <c r="A12" s="18"/>
      <c r="B12" s="18"/>
      <c r="C12" s="18"/>
      <c r="D12" s="18"/>
      <c r="E12" s="17"/>
      <c r="F12" s="24" t="str">
        <f aca="false">IF($A12="","",COUNTIFS(SALES!$G$4:$G$63,$A12))</f>
        <v/>
      </c>
      <c r="G12" s="21" t="str">
        <f aca="false">IF($A12="","",SUMIFS(SALES!$K$4:$K$63,SALES!$G$4:$G$63,$A12))</f>
        <v/>
      </c>
      <c r="H12" s="17"/>
      <c r="I12" s="18"/>
    </row>
    <row r="13" customFormat="false" ht="15" hidden="false" customHeight="false" outlineLevel="0" collapsed="false">
      <c r="A13" s="18"/>
      <c r="B13" s="18"/>
      <c r="C13" s="18"/>
      <c r="D13" s="18"/>
      <c r="E13" s="17"/>
      <c r="F13" s="24" t="str">
        <f aca="false">IF($A13="","",COUNTIFS(SALES!$G$4:$G$63,$A13))</f>
        <v/>
      </c>
      <c r="G13" s="21" t="str">
        <f aca="false">IF($A13="","",SUMIFS(SALES!$K$4:$K$63,SALES!$G$4:$G$63,$A13))</f>
        <v/>
      </c>
      <c r="H13" s="17"/>
      <c r="I13" s="18"/>
    </row>
    <row r="14" customFormat="false" ht="15" hidden="false" customHeight="false" outlineLevel="0" collapsed="false">
      <c r="A14" s="18"/>
      <c r="B14" s="18"/>
      <c r="C14" s="18"/>
      <c r="D14" s="18"/>
      <c r="E14" s="17"/>
      <c r="F14" s="24" t="str">
        <f aca="false">IF($A14="","",COUNTIFS(SALES!$G$4:$G$63,$A14))</f>
        <v/>
      </c>
      <c r="G14" s="21" t="str">
        <f aca="false">IF($A14="","",SUMIFS(SALES!$K$4:$K$63,SALES!$G$4:$G$63,$A14))</f>
        <v/>
      </c>
      <c r="H14" s="17"/>
      <c r="I14" s="18"/>
    </row>
    <row r="15" customFormat="false" ht="15" hidden="false" customHeight="false" outlineLevel="0" collapsed="false">
      <c r="A15" s="18"/>
      <c r="B15" s="18"/>
      <c r="C15" s="18"/>
      <c r="D15" s="18"/>
      <c r="E15" s="17"/>
      <c r="F15" s="24" t="str">
        <f aca="false">IF($A15="","",COUNTIFS(SALES!$G$4:$G$63,$A15))</f>
        <v/>
      </c>
      <c r="G15" s="21" t="str">
        <f aca="false">IF($A15="","",SUMIFS(SALES!$K$4:$K$63,SALES!$G$4:$G$63,$A15))</f>
        <v/>
      </c>
      <c r="H15" s="17"/>
      <c r="I15" s="18"/>
    </row>
    <row r="16" customFormat="false" ht="15" hidden="false" customHeight="false" outlineLevel="0" collapsed="false">
      <c r="A16" s="18"/>
      <c r="B16" s="18"/>
      <c r="C16" s="18"/>
      <c r="D16" s="18"/>
      <c r="E16" s="17"/>
      <c r="F16" s="24" t="str">
        <f aca="false">IF($A16="","",COUNTIFS(SALES!$G$4:$G$63,$A16))</f>
        <v/>
      </c>
      <c r="G16" s="21" t="str">
        <f aca="false">IF($A16="","",SUMIFS(SALES!$K$4:$K$63,SALES!$G$4:$G$63,$A16))</f>
        <v/>
      </c>
      <c r="H16" s="17"/>
      <c r="I16" s="18"/>
    </row>
    <row r="17" customFormat="false" ht="15" hidden="false" customHeight="false" outlineLevel="0" collapsed="false">
      <c r="A17" s="18"/>
      <c r="B17" s="18"/>
      <c r="C17" s="18"/>
      <c r="D17" s="18"/>
      <c r="E17" s="17"/>
      <c r="F17" s="24" t="str">
        <f aca="false">IF($A17="","",COUNTIFS(SALES!$G$4:$G$63,$A17))</f>
        <v/>
      </c>
      <c r="G17" s="21" t="str">
        <f aca="false">IF($A17="","",SUMIFS(SALES!$K$4:$K$63,SALES!$G$4:$G$63,$A17))</f>
        <v/>
      </c>
      <c r="H17" s="17"/>
      <c r="I17" s="18"/>
    </row>
    <row r="18" customFormat="false" ht="15" hidden="false" customHeight="false" outlineLevel="0" collapsed="false">
      <c r="A18" s="18"/>
      <c r="B18" s="18"/>
      <c r="C18" s="18"/>
      <c r="D18" s="18"/>
      <c r="E18" s="17"/>
      <c r="F18" s="24" t="str">
        <f aca="false">IF($A18="","",COUNTIFS(SALES!$G$4:$G$63,$A18))</f>
        <v/>
      </c>
      <c r="G18" s="21" t="str">
        <f aca="false">IF($A18="","",SUMIFS(SALES!$K$4:$K$63,SALES!$G$4:$G$63,$A18))</f>
        <v/>
      </c>
      <c r="H18" s="17"/>
      <c r="I18" s="18"/>
    </row>
    <row r="19" customFormat="false" ht="15" hidden="false" customHeight="false" outlineLevel="0" collapsed="false">
      <c r="A19" s="18"/>
      <c r="B19" s="18"/>
      <c r="C19" s="18"/>
      <c r="D19" s="18"/>
      <c r="E19" s="17"/>
      <c r="F19" s="24" t="str">
        <f aca="false">IF($A19="","",COUNTIFS(SALES!$G$4:$G$63,$A19))</f>
        <v/>
      </c>
      <c r="G19" s="21" t="str">
        <f aca="false">IF($A19="","",SUMIFS(SALES!$K$4:$K$63,SALES!$G$4:$G$63,$A19))</f>
        <v/>
      </c>
      <c r="H19" s="17"/>
      <c r="I19" s="18"/>
    </row>
    <row r="20" customFormat="false" ht="15" hidden="false" customHeight="false" outlineLevel="0" collapsed="false">
      <c r="A20" s="18"/>
      <c r="B20" s="18"/>
      <c r="C20" s="18"/>
      <c r="D20" s="18"/>
      <c r="E20" s="17"/>
      <c r="F20" s="24" t="str">
        <f aca="false">IF($A20="","",COUNTIFS(SALES!$G$4:$G$63,$A20))</f>
        <v/>
      </c>
      <c r="G20" s="21" t="str">
        <f aca="false">IF($A20="","",SUMIFS(SALES!$K$4:$K$63,SALES!$G$4:$G$63,$A20))</f>
        <v/>
      </c>
      <c r="H20" s="17"/>
      <c r="I20" s="18"/>
    </row>
    <row r="21" customFormat="false" ht="15" hidden="false" customHeight="false" outlineLevel="0" collapsed="false">
      <c r="A21" s="18"/>
      <c r="B21" s="18"/>
      <c r="C21" s="18"/>
      <c r="D21" s="18"/>
      <c r="E21" s="17"/>
      <c r="F21" s="24" t="str">
        <f aca="false">IF($A21="","",COUNTIFS(SALES!$G$4:$G$63,$A21))</f>
        <v/>
      </c>
      <c r="G21" s="21" t="str">
        <f aca="false">IF($A21="","",SUMIFS(SALES!$K$4:$K$63,SALES!$G$4:$G$63,$A21))</f>
        <v/>
      </c>
      <c r="H21" s="17"/>
      <c r="I21" s="18"/>
    </row>
    <row r="22" customFormat="false" ht="15" hidden="false" customHeight="false" outlineLevel="0" collapsed="false">
      <c r="A22" s="18"/>
      <c r="B22" s="18"/>
      <c r="C22" s="18"/>
      <c r="D22" s="18"/>
      <c r="E22" s="17"/>
      <c r="F22" s="24" t="str">
        <f aca="false">IF($A22="","",COUNTIFS(SALES!$G$4:$G$63,$A22))</f>
        <v/>
      </c>
      <c r="G22" s="21" t="str">
        <f aca="false">IF($A22="","",SUMIFS(SALES!$K$4:$K$63,SALES!$G$4:$G$63,$A22))</f>
        <v/>
      </c>
      <c r="H22" s="17"/>
      <c r="I22" s="18"/>
    </row>
    <row r="23" customFormat="false" ht="15" hidden="false" customHeight="false" outlineLevel="0" collapsed="false">
      <c r="A23" s="18"/>
      <c r="B23" s="18"/>
      <c r="C23" s="18"/>
      <c r="D23" s="18"/>
      <c r="E23" s="17"/>
      <c r="F23" s="24" t="str">
        <f aca="false">IF($A23="","",COUNTIFS(SALES!$G$4:$G$63,$A23))</f>
        <v/>
      </c>
      <c r="G23" s="21" t="str">
        <f aca="false">IF($A23="","",SUMIFS(SALES!$K$4:$K$63,SALES!$G$4:$G$63,$A23))</f>
        <v/>
      </c>
      <c r="H23" s="17"/>
      <c r="I23" s="18"/>
    </row>
    <row r="24" customFormat="false" ht="15" hidden="false" customHeight="false" outlineLevel="0" collapsed="false">
      <c r="A24" s="18"/>
      <c r="B24" s="18"/>
      <c r="C24" s="18"/>
      <c r="D24" s="18"/>
      <c r="E24" s="17"/>
      <c r="F24" s="24" t="str">
        <f aca="false">IF($A24="","",COUNTIFS(SALES!$G$4:$G$63,$A24))</f>
        <v/>
      </c>
      <c r="G24" s="21" t="str">
        <f aca="false">IF($A24="","",SUMIFS(SALES!$K$4:$K$63,SALES!$G$4:$G$63,$A24))</f>
        <v/>
      </c>
      <c r="H24" s="17"/>
      <c r="I24" s="18"/>
    </row>
    <row r="25" customFormat="false" ht="15" hidden="false" customHeight="false" outlineLevel="0" collapsed="false">
      <c r="A25" s="18"/>
      <c r="B25" s="18"/>
      <c r="C25" s="18"/>
      <c r="D25" s="18"/>
      <c r="E25" s="17"/>
      <c r="F25" s="24" t="str">
        <f aca="false">IF($A25="","",COUNTIFS(SALES!$G$4:$G$63,$A25))</f>
        <v/>
      </c>
      <c r="G25" s="21" t="str">
        <f aca="false">IF($A25="","",SUMIFS(SALES!$K$4:$K$63,SALES!$G$4:$G$63,$A25))</f>
        <v/>
      </c>
      <c r="H25" s="17"/>
      <c r="I25" s="18"/>
    </row>
    <row r="26" customFormat="false" ht="15" hidden="false" customHeight="false" outlineLevel="0" collapsed="false">
      <c r="A26" s="18"/>
      <c r="B26" s="18"/>
      <c r="C26" s="18"/>
      <c r="D26" s="18"/>
      <c r="E26" s="17"/>
      <c r="F26" s="24" t="str">
        <f aca="false">IF($A26="","",COUNTIFS(SALES!$G$4:$G$63,$A26))</f>
        <v/>
      </c>
      <c r="G26" s="21" t="str">
        <f aca="false">IF($A26="","",SUMIFS(SALES!$K$4:$K$63,SALES!$G$4:$G$63,$A26))</f>
        <v/>
      </c>
      <c r="H26" s="17"/>
      <c r="I26" s="18"/>
    </row>
    <row r="27" customFormat="false" ht="15" hidden="false" customHeight="false" outlineLevel="0" collapsed="false">
      <c r="A27" s="18"/>
      <c r="B27" s="18"/>
      <c r="C27" s="18"/>
      <c r="D27" s="18"/>
      <c r="E27" s="17"/>
      <c r="F27" s="24" t="str">
        <f aca="false">IF($A27="","",COUNTIFS(SALES!$G$4:$G$63,$A27))</f>
        <v/>
      </c>
      <c r="G27" s="21" t="str">
        <f aca="false">IF($A27="","",SUMIFS(SALES!$K$4:$K$63,SALES!$G$4:$G$63,$A27))</f>
        <v/>
      </c>
      <c r="H27" s="17"/>
      <c r="I27" s="18"/>
    </row>
    <row r="28" customFormat="false" ht="15" hidden="false" customHeight="false" outlineLevel="0" collapsed="false">
      <c r="A28" s="18"/>
      <c r="B28" s="18"/>
      <c r="C28" s="18"/>
      <c r="D28" s="18"/>
      <c r="E28" s="17"/>
      <c r="F28" s="24" t="str">
        <f aca="false">IF($A28="","",COUNTIFS(SALES!$G$4:$G$63,$A28))</f>
        <v/>
      </c>
      <c r="G28" s="21" t="str">
        <f aca="false">IF($A28="","",SUMIFS(SALES!$K$4:$K$63,SALES!$G$4:$G$63,$A28))</f>
        <v/>
      </c>
      <c r="H28" s="17"/>
      <c r="I28" s="18"/>
    </row>
    <row r="29" customFormat="false" ht="15" hidden="false" customHeight="false" outlineLevel="0" collapsed="false">
      <c r="A29" s="18"/>
      <c r="B29" s="18"/>
      <c r="C29" s="18"/>
      <c r="D29" s="18"/>
      <c r="E29" s="17"/>
      <c r="F29" s="24" t="str">
        <f aca="false">IF($A29="","",COUNTIFS(SALES!$G$4:$G$63,$A29))</f>
        <v/>
      </c>
      <c r="G29" s="21" t="str">
        <f aca="false">IF($A29="","",SUMIFS(SALES!$K$4:$K$63,SALES!$G$4:$G$63,$A29))</f>
        <v/>
      </c>
      <c r="H29" s="17"/>
      <c r="I29" s="18"/>
    </row>
    <row r="30" customFormat="false" ht="15" hidden="false" customHeight="false" outlineLevel="0" collapsed="false">
      <c r="A30" s="18"/>
      <c r="B30" s="18"/>
      <c r="C30" s="18"/>
      <c r="D30" s="18"/>
      <c r="E30" s="17"/>
      <c r="F30" s="24" t="str">
        <f aca="false">IF($A30="","",COUNTIFS(SALES!$G$4:$G$63,$A30))</f>
        <v/>
      </c>
      <c r="G30" s="21" t="str">
        <f aca="false">IF($A30="","",SUMIFS(SALES!$K$4:$K$63,SALES!$G$4:$G$63,$A30))</f>
        <v/>
      </c>
      <c r="H30" s="17"/>
      <c r="I30" s="18"/>
    </row>
    <row r="31" customFormat="false" ht="15" hidden="false" customHeight="false" outlineLevel="0" collapsed="false">
      <c r="A31" s="18"/>
      <c r="B31" s="18"/>
      <c r="C31" s="18"/>
      <c r="D31" s="18"/>
      <c r="E31" s="17"/>
      <c r="F31" s="24" t="str">
        <f aca="false">IF($A31="","",COUNTIFS(SALES!$G$4:$G$63,$A31))</f>
        <v/>
      </c>
      <c r="G31" s="21" t="str">
        <f aca="false">IF($A31="","",SUMIFS(SALES!$K$4:$K$63,SALES!$G$4:$G$63,$A31))</f>
        <v/>
      </c>
      <c r="H31" s="17"/>
      <c r="I31" s="18"/>
    </row>
    <row r="32" customFormat="false" ht="15" hidden="false" customHeight="false" outlineLevel="0" collapsed="false">
      <c r="A32" s="18"/>
      <c r="B32" s="18"/>
      <c r="C32" s="18"/>
      <c r="D32" s="18"/>
      <c r="E32" s="17"/>
      <c r="F32" s="24" t="str">
        <f aca="false">IF($A32="","",COUNTIFS(SALES!$G$4:$G$63,$A32))</f>
        <v/>
      </c>
      <c r="G32" s="21" t="str">
        <f aca="false">IF($A32="","",SUMIFS(SALES!$K$4:$K$63,SALES!$G$4:$G$63,$A32))</f>
        <v/>
      </c>
      <c r="H32" s="17"/>
      <c r="I32" s="18"/>
    </row>
    <row r="33" customFormat="false" ht="15" hidden="false" customHeight="false" outlineLevel="0" collapsed="false">
      <c r="A33" s="18"/>
      <c r="B33" s="18"/>
      <c r="C33" s="18"/>
      <c r="D33" s="18"/>
      <c r="E33" s="17"/>
      <c r="F33" s="24" t="str">
        <f aca="false">IF($A33="","",COUNTIFS(SALES!$G$4:$G$63,$A33))</f>
        <v/>
      </c>
      <c r="G33" s="21" t="str">
        <f aca="false">IF($A33="","",SUMIFS(SALES!$K$4:$K$63,SALES!$G$4:$G$63,$A33))</f>
        <v/>
      </c>
      <c r="H33" s="17"/>
      <c r="I33" s="18"/>
    </row>
    <row r="34" customFormat="false" ht="15" hidden="false" customHeight="false" outlineLevel="0" collapsed="false">
      <c r="A34" s="18"/>
      <c r="B34" s="18"/>
      <c r="C34" s="18"/>
      <c r="D34" s="18"/>
      <c r="E34" s="17"/>
      <c r="F34" s="24" t="str">
        <f aca="false">IF($A34="","",COUNTIFS(SALES!$G$4:$G$63,$A34))</f>
        <v/>
      </c>
      <c r="G34" s="21" t="str">
        <f aca="false">IF($A34="","",SUMIFS(SALES!$K$4:$K$63,SALES!$G$4:$G$63,$A34))</f>
        <v/>
      </c>
      <c r="H34" s="17"/>
      <c r="I34" s="18"/>
    </row>
    <row r="35" customFormat="false" ht="15" hidden="false" customHeight="false" outlineLevel="0" collapsed="false">
      <c r="A35" s="18"/>
      <c r="B35" s="18"/>
      <c r="C35" s="18"/>
      <c r="D35" s="18"/>
      <c r="E35" s="17"/>
      <c r="F35" s="24" t="str">
        <f aca="false">IF($A35="","",COUNTIFS(SALES!$G$4:$G$63,$A35))</f>
        <v/>
      </c>
      <c r="G35" s="21" t="str">
        <f aca="false">IF($A35="","",SUMIFS(SALES!$K$4:$K$63,SALES!$G$4:$G$63,$A35))</f>
        <v/>
      </c>
      <c r="H35" s="17"/>
      <c r="I35" s="18"/>
    </row>
    <row r="36" customFormat="false" ht="15" hidden="false" customHeight="false" outlineLevel="0" collapsed="false">
      <c r="A36" s="18"/>
      <c r="B36" s="18"/>
      <c r="C36" s="18"/>
      <c r="D36" s="18"/>
      <c r="E36" s="17"/>
      <c r="F36" s="24" t="str">
        <f aca="false">IF($A36="","",COUNTIFS(SALES!$G$4:$G$63,$A36))</f>
        <v/>
      </c>
      <c r="G36" s="21" t="str">
        <f aca="false">IF($A36="","",SUMIFS(SALES!$K$4:$K$63,SALES!$G$4:$G$63,$A36))</f>
        <v/>
      </c>
      <c r="H36" s="17"/>
      <c r="I36" s="18"/>
    </row>
    <row r="37" customFormat="false" ht="15" hidden="false" customHeight="false" outlineLevel="0" collapsed="false">
      <c r="A37" s="18"/>
      <c r="B37" s="18"/>
      <c r="C37" s="18"/>
      <c r="D37" s="18"/>
      <c r="E37" s="17"/>
      <c r="F37" s="24" t="str">
        <f aca="false">IF($A37="","",COUNTIFS(SALES!$G$4:$G$63,$A37))</f>
        <v/>
      </c>
      <c r="G37" s="21" t="str">
        <f aca="false">IF($A37="","",SUMIFS(SALES!$K$4:$K$63,SALES!$G$4:$G$63,$A37))</f>
        <v/>
      </c>
      <c r="H37" s="17"/>
      <c r="I37" s="18"/>
    </row>
    <row r="38" customFormat="false" ht="15" hidden="false" customHeight="false" outlineLevel="0" collapsed="false">
      <c r="A38" s="18"/>
      <c r="B38" s="18"/>
      <c r="C38" s="18"/>
      <c r="D38" s="18"/>
      <c r="E38" s="17"/>
      <c r="F38" s="24" t="str">
        <f aca="false">IF($A38="","",COUNTIFS(SALES!$G$4:$G$63,$A38))</f>
        <v/>
      </c>
      <c r="G38" s="21" t="str">
        <f aca="false">IF($A38="","",SUMIFS(SALES!$K$4:$K$63,SALES!$G$4:$G$63,$A38))</f>
        <v/>
      </c>
      <c r="H38" s="17"/>
      <c r="I38" s="18"/>
    </row>
    <row r="39" customFormat="false" ht="15" hidden="false" customHeight="false" outlineLevel="0" collapsed="false">
      <c r="A39" s="18"/>
      <c r="B39" s="18"/>
      <c r="C39" s="18"/>
      <c r="D39" s="18"/>
      <c r="E39" s="17"/>
      <c r="F39" s="24" t="str">
        <f aca="false">IF($A39="","",COUNTIFS(SALES!$G$4:$G$63,$A39))</f>
        <v/>
      </c>
      <c r="G39" s="21" t="str">
        <f aca="false">IF($A39="","",SUMIFS(SALES!$K$4:$K$63,SALES!$G$4:$G$63,$A39))</f>
        <v/>
      </c>
      <c r="H39" s="17"/>
      <c r="I39" s="18"/>
    </row>
    <row r="40" customFormat="false" ht="15" hidden="false" customHeight="false" outlineLevel="0" collapsed="false">
      <c r="A40" s="18"/>
      <c r="B40" s="18"/>
      <c r="C40" s="18"/>
      <c r="D40" s="18"/>
      <c r="E40" s="17"/>
      <c r="F40" s="24" t="str">
        <f aca="false">IF($A40="","",COUNTIFS(SALES!$G$4:$G$63,$A40))</f>
        <v/>
      </c>
      <c r="G40" s="21" t="str">
        <f aca="false">IF($A40="","",SUMIFS(SALES!$K$4:$K$63,SALES!$G$4:$G$63,$A40))</f>
        <v/>
      </c>
      <c r="H40" s="17"/>
      <c r="I40" s="18"/>
    </row>
    <row r="41" customFormat="false" ht="15" hidden="false" customHeight="false" outlineLevel="0" collapsed="false">
      <c r="A41" s="18"/>
      <c r="B41" s="18"/>
      <c r="C41" s="18"/>
      <c r="D41" s="18"/>
      <c r="E41" s="17"/>
      <c r="F41" s="24" t="str">
        <f aca="false">IF($A41="","",COUNTIFS(SALES!$G$4:$G$63,$A41))</f>
        <v/>
      </c>
      <c r="G41" s="21" t="str">
        <f aca="false">IF($A41="","",SUMIFS(SALES!$K$4:$K$63,SALES!$G$4:$G$63,$A41))</f>
        <v/>
      </c>
      <c r="H41" s="17"/>
      <c r="I41" s="18"/>
    </row>
    <row r="42" customFormat="false" ht="15" hidden="false" customHeight="false" outlineLevel="0" collapsed="false">
      <c r="A42" s="18"/>
      <c r="B42" s="18"/>
      <c r="C42" s="18"/>
      <c r="D42" s="18"/>
      <c r="E42" s="17"/>
      <c r="F42" s="24" t="str">
        <f aca="false">IF($A42="","",COUNTIFS(SALES!$G$4:$G$63,$A42))</f>
        <v/>
      </c>
      <c r="G42" s="21" t="str">
        <f aca="false">IF($A42="","",SUMIFS(SALES!$K$4:$K$63,SALES!$G$4:$G$63,$A42))</f>
        <v/>
      </c>
      <c r="H42" s="17"/>
      <c r="I42" s="18"/>
    </row>
    <row r="43" customFormat="false" ht="15" hidden="false" customHeight="false" outlineLevel="0" collapsed="false">
      <c r="A43" s="18"/>
      <c r="B43" s="18"/>
      <c r="C43" s="18"/>
      <c r="D43" s="18"/>
      <c r="E43" s="17"/>
      <c r="F43" s="24" t="str">
        <f aca="false">IF($A43="","",COUNTIFS(SALES!$G$4:$G$63,$A43))</f>
        <v/>
      </c>
      <c r="G43" s="21" t="str">
        <f aca="false">IF($A43="","",SUMIFS(SALES!$K$4:$K$63,SALES!$G$4:$G$63,$A43))</f>
        <v/>
      </c>
      <c r="H43" s="17"/>
      <c r="I43" s="18"/>
    </row>
    <row r="44" customFormat="false" ht="15" hidden="false" customHeight="false" outlineLevel="0" collapsed="false">
      <c r="A44" s="18"/>
      <c r="B44" s="18"/>
      <c r="C44" s="18"/>
      <c r="D44" s="18"/>
      <c r="E44" s="17"/>
      <c r="F44" s="24" t="str">
        <f aca="false">IF($A44="","",COUNTIFS(SALES!$G$4:$G$63,$A44))</f>
        <v/>
      </c>
      <c r="G44" s="21" t="str">
        <f aca="false">IF($A44="","",SUMIFS(SALES!$K$4:$K$63,SALES!$G$4:$G$63,$A44))</f>
        <v/>
      </c>
      <c r="H44" s="17"/>
      <c r="I44" s="18"/>
    </row>
    <row r="45" customFormat="false" ht="15" hidden="false" customHeight="false" outlineLevel="0" collapsed="false">
      <c r="A45" s="18"/>
      <c r="B45" s="18"/>
      <c r="C45" s="18"/>
      <c r="D45" s="18"/>
      <c r="E45" s="17"/>
      <c r="F45" s="24" t="str">
        <f aca="false">IF($A45="","",COUNTIFS(SALES!$G$4:$G$63,$A45))</f>
        <v/>
      </c>
      <c r="G45" s="21" t="str">
        <f aca="false">IF($A45="","",SUMIFS(SALES!$K$4:$K$63,SALES!$G$4:$G$63,$A45))</f>
        <v/>
      </c>
      <c r="H45" s="17"/>
      <c r="I45" s="18"/>
    </row>
    <row r="46" customFormat="false" ht="15" hidden="false" customHeight="false" outlineLevel="0" collapsed="false">
      <c r="A46" s="18"/>
      <c r="B46" s="18"/>
      <c r="C46" s="18"/>
      <c r="D46" s="18"/>
      <c r="E46" s="17"/>
      <c r="F46" s="24" t="str">
        <f aca="false">IF($A46="","",COUNTIFS(SALES!$G$4:$G$63,$A46))</f>
        <v/>
      </c>
      <c r="G46" s="21" t="str">
        <f aca="false">IF($A46="","",SUMIFS(SALES!$K$4:$K$63,SALES!$G$4:$G$63,$A46))</f>
        <v/>
      </c>
      <c r="H46" s="17"/>
      <c r="I46" s="18"/>
    </row>
    <row r="47" customFormat="false" ht="15" hidden="false" customHeight="false" outlineLevel="0" collapsed="false">
      <c r="A47" s="18"/>
      <c r="B47" s="18"/>
      <c r="C47" s="18"/>
      <c r="D47" s="18"/>
      <c r="E47" s="17"/>
      <c r="F47" s="24" t="str">
        <f aca="false">IF($A47="","",COUNTIFS(SALES!$G$4:$G$63,$A47))</f>
        <v/>
      </c>
      <c r="G47" s="21" t="str">
        <f aca="false">IF($A47="","",SUMIFS(SALES!$K$4:$K$63,SALES!$G$4:$G$63,$A47))</f>
        <v/>
      </c>
      <c r="H47" s="17"/>
      <c r="I47" s="18"/>
    </row>
    <row r="48" customFormat="false" ht="15" hidden="false" customHeight="false" outlineLevel="0" collapsed="false">
      <c r="A48" s="18"/>
      <c r="B48" s="18"/>
      <c r="C48" s="18"/>
      <c r="D48" s="18"/>
      <c r="E48" s="17"/>
      <c r="F48" s="24" t="str">
        <f aca="false">IF($A48="","",COUNTIFS(SALES!$G$4:$G$63,$A48))</f>
        <v/>
      </c>
      <c r="G48" s="21" t="str">
        <f aca="false">IF($A48="","",SUMIFS(SALES!$K$4:$K$63,SALES!$G$4:$G$63,$A48))</f>
        <v/>
      </c>
      <c r="H48" s="17"/>
      <c r="I48" s="18"/>
    </row>
    <row r="49" customFormat="false" ht="15" hidden="false" customHeight="false" outlineLevel="0" collapsed="false">
      <c r="A49" s="18"/>
      <c r="B49" s="18"/>
      <c r="C49" s="18"/>
      <c r="D49" s="18"/>
      <c r="E49" s="17"/>
      <c r="F49" s="24" t="str">
        <f aca="false">IF($A49="","",COUNTIFS(SALES!$G$4:$G$63,$A49))</f>
        <v/>
      </c>
      <c r="G49" s="21" t="str">
        <f aca="false">IF($A49="","",SUMIFS(SALES!$K$4:$K$63,SALES!$G$4:$G$63,$A49))</f>
        <v/>
      </c>
      <c r="H49" s="17"/>
      <c r="I49" s="18"/>
    </row>
    <row r="50" customFormat="false" ht="15" hidden="false" customHeight="false" outlineLevel="0" collapsed="false">
      <c r="A50" s="18"/>
      <c r="B50" s="18"/>
      <c r="C50" s="18"/>
      <c r="D50" s="18"/>
      <c r="E50" s="17"/>
      <c r="F50" s="24" t="str">
        <f aca="false">IF($A50="","",COUNTIFS(SALES!$G$4:$G$63,$A50))</f>
        <v/>
      </c>
      <c r="G50" s="21" t="str">
        <f aca="false">IF($A50="","",SUMIFS(SALES!$K$4:$K$63,SALES!$G$4:$G$63,$A50))</f>
        <v/>
      </c>
      <c r="H50" s="17"/>
      <c r="I50" s="18"/>
    </row>
    <row r="51" customFormat="false" ht="15" hidden="false" customHeight="false" outlineLevel="0" collapsed="false">
      <c r="A51" s="18"/>
      <c r="B51" s="18"/>
      <c r="C51" s="18"/>
      <c r="D51" s="18"/>
      <c r="E51" s="17"/>
      <c r="F51" s="24" t="str">
        <f aca="false">IF($A51="","",COUNTIFS(SALES!$G$4:$G$63,$A51))</f>
        <v/>
      </c>
      <c r="G51" s="21" t="str">
        <f aca="false">IF($A51="","",SUMIFS(SALES!$K$4:$K$63,SALES!$G$4:$G$63,$A51))</f>
        <v/>
      </c>
      <c r="H51" s="17"/>
      <c r="I51" s="18"/>
    </row>
    <row r="52" customFormat="false" ht="15" hidden="false" customHeight="false" outlineLevel="0" collapsed="false">
      <c r="A52" s="18"/>
      <c r="B52" s="18"/>
      <c r="C52" s="18"/>
      <c r="D52" s="18"/>
      <c r="E52" s="17"/>
      <c r="F52" s="24" t="str">
        <f aca="false">IF($A52="","",COUNTIFS(SALES!$G$4:$G$63,$A52))</f>
        <v/>
      </c>
      <c r="G52" s="21" t="str">
        <f aca="false">IF($A52="","",SUMIFS(SALES!$K$4:$K$63,SALES!$G$4:$G$63,$A52))</f>
        <v/>
      </c>
      <c r="H52" s="17"/>
      <c r="I52" s="18"/>
    </row>
    <row r="53" customFormat="false" ht="15" hidden="false" customHeight="false" outlineLevel="0" collapsed="false">
      <c r="A53" s="18"/>
      <c r="B53" s="18"/>
      <c r="C53" s="18"/>
      <c r="D53" s="18"/>
      <c r="E53" s="17"/>
      <c r="F53" s="24" t="str">
        <f aca="false">IF($A53="","",COUNTIFS(SALES!$G$4:$G$63,$A53))</f>
        <v/>
      </c>
      <c r="G53" s="21" t="str">
        <f aca="false">IF($A53="","",SUMIFS(SALES!$K$4:$K$63,SALES!$G$4:$G$63,$A53))</f>
        <v/>
      </c>
      <c r="H53" s="17"/>
      <c r="I53" s="18"/>
    </row>
  </sheetData>
  <sheetProtection sheet="true" password="c7e9" objects="true" scenarios="true" sort="false" autoFilter="false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3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24"/>
    <col collapsed="false" customWidth="true" hidden="false" outlineLevel="0" max="12" min="9" style="0" width="13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" t="s">
        <v>570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7.75" hidden="false" customHeight="true" outlineLevel="0" collapsed="false">
      <c r="A3" s="15" t="s">
        <v>572</v>
      </c>
      <c r="B3" s="15" t="s">
        <v>387</v>
      </c>
      <c r="C3" s="15" t="s">
        <v>573</v>
      </c>
      <c r="D3" s="15" t="s">
        <v>169</v>
      </c>
      <c r="E3" s="15" t="s">
        <v>574</v>
      </c>
      <c r="F3" s="15" t="s">
        <v>575</v>
      </c>
      <c r="G3" s="15" t="s">
        <v>576</v>
      </c>
      <c r="H3" s="15" t="s">
        <v>500</v>
      </c>
      <c r="I3" s="15" t="s">
        <v>577</v>
      </c>
      <c r="J3" s="15" t="s">
        <v>578</v>
      </c>
      <c r="K3" s="15" t="s">
        <v>579</v>
      </c>
      <c r="L3" s="15" t="s">
        <v>580</v>
      </c>
      <c r="M3" s="15" t="s">
        <v>221</v>
      </c>
    </row>
    <row r="4" customFormat="false" ht="23.85" hidden="false" customHeight="false" outlineLevel="0" collapsed="false">
      <c r="A4" s="18" t="s">
        <v>581</v>
      </c>
      <c r="B4" s="17" t="n">
        <v>46073</v>
      </c>
      <c r="C4" s="18"/>
      <c r="D4" s="18"/>
      <c r="E4" s="18"/>
      <c r="F4" s="21" t="str">
        <f aca="false">IF($C4="","",IFERROR(INDEX(SALES!$K$4:$K$63,MATCH($C4,SALES!$A$4:$A$63,0)),""))</f>
        <v/>
      </c>
      <c r="G4" s="22"/>
      <c r="H4" s="18" t="s">
        <v>582</v>
      </c>
      <c r="I4" s="18" t="s">
        <v>233</v>
      </c>
      <c r="J4" s="18" t="s">
        <v>232</v>
      </c>
      <c r="K4" s="18" t="s">
        <v>264</v>
      </c>
      <c r="L4" s="18" t="s">
        <v>62</v>
      </c>
      <c r="M4" s="18" t="s">
        <v>583</v>
      </c>
    </row>
    <row r="5" customFormat="false" ht="15" hidden="false" customHeight="false" outlineLevel="0" collapsed="false">
      <c r="A5" s="18"/>
      <c r="B5" s="17"/>
      <c r="C5" s="18"/>
      <c r="D5" s="18"/>
      <c r="E5" s="18"/>
      <c r="F5" s="21" t="str">
        <f aca="false">IF($C5="","",IFERROR(INDEX(SALES!$K$4:$K$63,MATCH($C5,SALES!$A$4:$A$63,0)),""))</f>
        <v/>
      </c>
      <c r="G5" s="22"/>
      <c r="H5" s="18"/>
      <c r="I5" s="18"/>
      <c r="J5" s="18"/>
      <c r="K5" s="18"/>
      <c r="L5" s="18"/>
      <c r="M5" s="18"/>
    </row>
    <row r="6" customFormat="false" ht="15" hidden="false" customHeight="false" outlineLevel="0" collapsed="false">
      <c r="A6" s="18"/>
      <c r="B6" s="17"/>
      <c r="C6" s="18"/>
      <c r="D6" s="18"/>
      <c r="E6" s="18"/>
      <c r="F6" s="21" t="str">
        <f aca="false">IF($C6="","",IFERROR(INDEX(SALES!$K$4:$K$63,MATCH($C6,SALES!$A$4:$A$63,0)),""))</f>
        <v/>
      </c>
      <c r="G6" s="22"/>
      <c r="H6" s="18"/>
      <c r="I6" s="18"/>
      <c r="J6" s="18"/>
      <c r="K6" s="18"/>
      <c r="L6" s="18"/>
      <c r="M6" s="18"/>
    </row>
    <row r="7" customFormat="false" ht="15" hidden="false" customHeight="false" outlineLevel="0" collapsed="false">
      <c r="A7" s="18"/>
      <c r="B7" s="17"/>
      <c r="C7" s="18"/>
      <c r="D7" s="18"/>
      <c r="E7" s="18"/>
      <c r="F7" s="21" t="str">
        <f aca="false">IF($C7="","",IFERROR(INDEX(SALES!$K$4:$K$63,MATCH($C7,SALES!$A$4:$A$63,0)),""))</f>
        <v/>
      </c>
      <c r="G7" s="22"/>
      <c r="H7" s="18"/>
      <c r="I7" s="18"/>
      <c r="J7" s="18"/>
      <c r="K7" s="18"/>
      <c r="L7" s="18"/>
      <c r="M7" s="18"/>
    </row>
    <row r="8" customFormat="false" ht="15" hidden="false" customHeight="false" outlineLevel="0" collapsed="false">
      <c r="A8" s="18"/>
      <c r="B8" s="17"/>
      <c r="C8" s="18"/>
      <c r="D8" s="18"/>
      <c r="E8" s="18"/>
      <c r="F8" s="21" t="str">
        <f aca="false">IF($C8="","",IFERROR(INDEX(SALES!$K$4:$K$63,MATCH($C8,SALES!$A$4:$A$63,0)),""))</f>
        <v/>
      </c>
      <c r="G8" s="22"/>
      <c r="H8" s="18"/>
      <c r="I8" s="18"/>
      <c r="J8" s="18"/>
      <c r="K8" s="18"/>
      <c r="L8" s="18"/>
      <c r="M8" s="18"/>
    </row>
    <row r="9" customFormat="false" ht="15" hidden="false" customHeight="false" outlineLevel="0" collapsed="false">
      <c r="A9" s="18"/>
      <c r="B9" s="17"/>
      <c r="C9" s="18"/>
      <c r="D9" s="18"/>
      <c r="E9" s="18"/>
      <c r="F9" s="21" t="str">
        <f aca="false">IF($C9="","",IFERROR(INDEX(SALES!$K$4:$K$63,MATCH($C9,SALES!$A$4:$A$63,0)),""))</f>
        <v/>
      </c>
      <c r="G9" s="22"/>
      <c r="H9" s="18"/>
      <c r="I9" s="18"/>
      <c r="J9" s="18"/>
      <c r="K9" s="18"/>
      <c r="L9" s="18"/>
      <c r="M9" s="18"/>
    </row>
    <row r="10" customFormat="false" ht="15" hidden="false" customHeight="false" outlineLevel="0" collapsed="false">
      <c r="A10" s="18"/>
      <c r="B10" s="17"/>
      <c r="C10" s="18"/>
      <c r="D10" s="18"/>
      <c r="E10" s="18"/>
      <c r="F10" s="21" t="str">
        <f aca="false">IF($C10="","",IFERROR(INDEX(SALES!$K$4:$K$63,MATCH($C10,SALES!$A$4:$A$63,0)),""))</f>
        <v/>
      </c>
      <c r="G10" s="22"/>
      <c r="H10" s="18"/>
      <c r="I10" s="18"/>
      <c r="J10" s="18"/>
      <c r="K10" s="18"/>
      <c r="L10" s="18"/>
      <c r="M10" s="18"/>
    </row>
    <row r="11" customFormat="false" ht="15" hidden="false" customHeight="false" outlineLevel="0" collapsed="false">
      <c r="A11" s="18"/>
      <c r="B11" s="17"/>
      <c r="C11" s="18"/>
      <c r="D11" s="18"/>
      <c r="E11" s="18"/>
      <c r="F11" s="21" t="str">
        <f aca="false">IF($C11="","",IFERROR(INDEX(SALES!$K$4:$K$63,MATCH($C11,SALES!$A$4:$A$63,0)),""))</f>
        <v/>
      </c>
      <c r="G11" s="22"/>
      <c r="H11" s="18"/>
      <c r="I11" s="18"/>
      <c r="J11" s="18"/>
      <c r="K11" s="18"/>
      <c r="L11" s="18"/>
      <c r="M11" s="18"/>
    </row>
    <row r="12" customFormat="false" ht="15" hidden="false" customHeight="false" outlineLevel="0" collapsed="false">
      <c r="A12" s="18"/>
      <c r="B12" s="17"/>
      <c r="C12" s="18"/>
      <c r="D12" s="18"/>
      <c r="E12" s="18"/>
      <c r="F12" s="21" t="str">
        <f aca="false">IF($C12="","",IFERROR(INDEX(SALES!$K$4:$K$63,MATCH($C12,SALES!$A$4:$A$63,0)),""))</f>
        <v/>
      </c>
      <c r="G12" s="22"/>
      <c r="H12" s="18"/>
      <c r="I12" s="18"/>
      <c r="J12" s="18"/>
      <c r="K12" s="18"/>
      <c r="L12" s="18"/>
      <c r="M12" s="18"/>
    </row>
    <row r="13" customFormat="false" ht="15" hidden="false" customHeight="false" outlineLevel="0" collapsed="false">
      <c r="A13" s="18"/>
      <c r="B13" s="17"/>
      <c r="C13" s="18"/>
      <c r="D13" s="18"/>
      <c r="E13" s="18"/>
      <c r="F13" s="21" t="str">
        <f aca="false">IF($C13="","",IFERROR(INDEX(SALES!$K$4:$K$63,MATCH($C13,SALES!$A$4:$A$63,0)),""))</f>
        <v/>
      </c>
      <c r="G13" s="22"/>
      <c r="H13" s="18"/>
      <c r="I13" s="18"/>
      <c r="J13" s="18"/>
      <c r="K13" s="18"/>
      <c r="L13" s="18"/>
      <c r="M13" s="18"/>
    </row>
    <row r="14" customFormat="false" ht="15" hidden="false" customHeight="false" outlineLevel="0" collapsed="false">
      <c r="A14" s="18"/>
      <c r="B14" s="17"/>
      <c r="C14" s="18"/>
      <c r="D14" s="18"/>
      <c r="E14" s="18"/>
      <c r="F14" s="21" t="str">
        <f aca="false">IF($C14="","",IFERROR(INDEX(SALES!$K$4:$K$63,MATCH($C14,SALES!$A$4:$A$63,0)),""))</f>
        <v/>
      </c>
      <c r="G14" s="22"/>
      <c r="H14" s="18"/>
      <c r="I14" s="18"/>
      <c r="J14" s="18"/>
      <c r="K14" s="18"/>
      <c r="L14" s="18"/>
      <c r="M14" s="18"/>
    </row>
    <row r="15" customFormat="false" ht="15" hidden="false" customHeight="false" outlineLevel="0" collapsed="false">
      <c r="A15" s="18"/>
      <c r="B15" s="17"/>
      <c r="C15" s="18"/>
      <c r="D15" s="18"/>
      <c r="E15" s="18"/>
      <c r="F15" s="21" t="str">
        <f aca="false">IF($C15="","",IFERROR(INDEX(SALES!$K$4:$K$63,MATCH($C15,SALES!$A$4:$A$63,0)),""))</f>
        <v/>
      </c>
      <c r="G15" s="22"/>
      <c r="H15" s="18"/>
      <c r="I15" s="18"/>
      <c r="J15" s="18"/>
      <c r="K15" s="18"/>
      <c r="L15" s="18"/>
      <c r="M15" s="18"/>
    </row>
    <row r="16" customFormat="false" ht="15" hidden="false" customHeight="false" outlineLevel="0" collapsed="false">
      <c r="A16" s="18"/>
      <c r="B16" s="17"/>
      <c r="C16" s="18"/>
      <c r="D16" s="18"/>
      <c r="E16" s="18"/>
      <c r="F16" s="21" t="str">
        <f aca="false">IF($C16="","",IFERROR(INDEX(SALES!$K$4:$K$63,MATCH($C16,SALES!$A$4:$A$63,0)),""))</f>
        <v/>
      </c>
      <c r="G16" s="22"/>
      <c r="H16" s="18"/>
      <c r="I16" s="18"/>
      <c r="J16" s="18"/>
      <c r="K16" s="18"/>
      <c r="L16" s="18"/>
      <c r="M16" s="18"/>
    </row>
    <row r="17" customFormat="false" ht="15" hidden="false" customHeight="false" outlineLevel="0" collapsed="false">
      <c r="A17" s="18"/>
      <c r="B17" s="17"/>
      <c r="C17" s="18"/>
      <c r="D17" s="18"/>
      <c r="E17" s="18"/>
      <c r="F17" s="21" t="str">
        <f aca="false">IF($C17="","",IFERROR(INDEX(SALES!$K$4:$K$63,MATCH($C17,SALES!$A$4:$A$63,0)),""))</f>
        <v/>
      </c>
      <c r="G17" s="22"/>
      <c r="H17" s="18"/>
      <c r="I17" s="18"/>
      <c r="J17" s="18"/>
      <c r="K17" s="18"/>
      <c r="L17" s="18"/>
      <c r="M17" s="18"/>
    </row>
    <row r="18" customFormat="false" ht="15" hidden="false" customHeight="false" outlineLevel="0" collapsed="false">
      <c r="A18" s="18"/>
      <c r="B18" s="17"/>
      <c r="C18" s="18"/>
      <c r="D18" s="18"/>
      <c r="E18" s="18"/>
      <c r="F18" s="21" t="str">
        <f aca="false">IF($C18="","",IFERROR(INDEX(SALES!$K$4:$K$63,MATCH($C18,SALES!$A$4:$A$63,0)),""))</f>
        <v/>
      </c>
      <c r="G18" s="22"/>
      <c r="H18" s="18"/>
      <c r="I18" s="18"/>
      <c r="J18" s="18"/>
      <c r="K18" s="18"/>
      <c r="L18" s="18"/>
      <c r="M18" s="18"/>
    </row>
    <row r="19" customFormat="false" ht="15" hidden="false" customHeight="false" outlineLevel="0" collapsed="false">
      <c r="A19" s="18"/>
      <c r="B19" s="17"/>
      <c r="C19" s="18"/>
      <c r="D19" s="18"/>
      <c r="E19" s="18"/>
      <c r="F19" s="21" t="str">
        <f aca="false">IF($C19="","",IFERROR(INDEX(SALES!$K$4:$K$63,MATCH($C19,SALES!$A$4:$A$63,0)),""))</f>
        <v/>
      </c>
      <c r="G19" s="22"/>
      <c r="H19" s="18"/>
      <c r="I19" s="18"/>
      <c r="J19" s="18"/>
      <c r="K19" s="18"/>
      <c r="L19" s="18"/>
      <c r="M19" s="18"/>
    </row>
    <row r="20" customFormat="false" ht="15" hidden="false" customHeight="false" outlineLevel="0" collapsed="false">
      <c r="A20" s="18"/>
      <c r="B20" s="17"/>
      <c r="C20" s="18"/>
      <c r="D20" s="18"/>
      <c r="E20" s="18"/>
      <c r="F20" s="21" t="str">
        <f aca="false">IF($C20="","",IFERROR(INDEX(SALES!$K$4:$K$63,MATCH($C20,SALES!$A$4:$A$63,0)),""))</f>
        <v/>
      </c>
      <c r="G20" s="22"/>
      <c r="H20" s="18"/>
      <c r="I20" s="18"/>
      <c r="J20" s="18"/>
      <c r="K20" s="18"/>
      <c r="L20" s="18"/>
      <c r="M20" s="18"/>
    </row>
    <row r="21" customFormat="false" ht="15" hidden="false" customHeight="false" outlineLevel="0" collapsed="false">
      <c r="A21" s="18"/>
      <c r="B21" s="17"/>
      <c r="C21" s="18"/>
      <c r="D21" s="18"/>
      <c r="E21" s="18"/>
      <c r="F21" s="21" t="str">
        <f aca="false">IF($C21="","",IFERROR(INDEX(SALES!$K$4:$K$63,MATCH($C21,SALES!$A$4:$A$63,0)),""))</f>
        <v/>
      </c>
      <c r="G21" s="22"/>
      <c r="H21" s="18"/>
      <c r="I21" s="18"/>
      <c r="J21" s="18"/>
      <c r="K21" s="18"/>
      <c r="L21" s="18"/>
      <c r="M21" s="18"/>
    </row>
    <row r="22" customFormat="false" ht="15" hidden="false" customHeight="false" outlineLevel="0" collapsed="false">
      <c r="A22" s="18"/>
      <c r="B22" s="17"/>
      <c r="C22" s="18"/>
      <c r="D22" s="18"/>
      <c r="E22" s="18"/>
      <c r="F22" s="21" t="str">
        <f aca="false">IF($C22="","",IFERROR(INDEX(SALES!$K$4:$K$63,MATCH($C22,SALES!$A$4:$A$63,0)),""))</f>
        <v/>
      </c>
      <c r="G22" s="22"/>
      <c r="H22" s="18"/>
      <c r="I22" s="18"/>
      <c r="J22" s="18"/>
      <c r="K22" s="18"/>
      <c r="L22" s="18"/>
      <c r="M22" s="18"/>
    </row>
    <row r="23" customFormat="false" ht="15" hidden="false" customHeight="false" outlineLevel="0" collapsed="false">
      <c r="A23" s="18"/>
      <c r="B23" s="17"/>
      <c r="C23" s="18"/>
      <c r="D23" s="18"/>
      <c r="E23" s="18"/>
      <c r="F23" s="21" t="str">
        <f aca="false">IF($C23="","",IFERROR(INDEX(SALES!$K$4:$K$63,MATCH($C23,SALES!$A$4:$A$63,0)),""))</f>
        <v/>
      </c>
      <c r="G23" s="22"/>
      <c r="H23" s="18"/>
      <c r="I23" s="18"/>
      <c r="J23" s="18"/>
      <c r="K23" s="18"/>
      <c r="L23" s="18"/>
      <c r="M23" s="18"/>
    </row>
    <row r="24" customFormat="false" ht="15" hidden="false" customHeight="false" outlineLevel="0" collapsed="false">
      <c r="A24" s="18"/>
      <c r="B24" s="17"/>
      <c r="C24" s="18"/>
      <c r="D24" s="18"/>
      <c r="E24" s="18"/>
      <c r="F24" s="21" t="str">
        <f aca="false">IF($C24="","",IFERROR(INDEX(SALES!$K$4:$K$63,MATCH($C24,SALES!$A$4:$A$63,0)),""))</f>
        <v/>
      </c>
      <c r="G24" s="22"/>
      <c r="H24" s="18"/>
      <c r="I24" s="18"/>
      <c r="J24" s="18"/>
      <c r="K24" s="18"/>
      <c r="L24" s="18"/>
      <c r="M24" s="18"/>
    </row>
    <row r="25" customFormat="false" ht="15" hidden="false" customHeight="false" outlineLevel="0" collapsed="false">
      <c r="A25" s="18"/>
      <c r="B25" s="17"/>
      <c r="C25" s="18"/>
      <c r="D25" s="18"/>
      <c r="E25" s="18"/>
      <c r="F25" s="21" t="str">
        <f aca="false">IF($C25="","",IFERROR(INDEX(SALES!$K$4:$K$63,MATCH($C25,SALES!$A$4:$A$63,0)),""))</f>
        <v/>
      </c>
      <c r="G25" s="22"/>
      <c r="H25" s="18"/>
      <c r="I25" s="18"/>
      <c r="J25" s="18"/>
      <c r="K25" s="18"/>
      <c r="L25" s="18"/>
      <c r="M25" s="18"/>
    </row>
    <row r="26" customFormat="false" ht="15" hidden="false" customHeight="false" outlineLevel="0" collapsed="false">
      <c r="A26" s="18"/>
      <c r="B26" s="17"/>
      <c r="C26" s="18"/>
      <c r="D26" s="18"/>
      <c r="E26" s="18"/>
      <c r="F26" s="21" t="str">
        <f aca="false">IF($C26="","",IFERROR(INDEX(SALES!$K$4:$K$63,MATCH($C26,SALES!$A$4:$A$63,0)),""))</f>
        <v/>
      </c>
      <c r="G26" s="22"/>
      <c r="H26" s="18"/>
      <c r="I26" s="18"/>
      <c r="J26" s="18"/>
      <c r="K26" s="18"/>
      <c r="L26" s="18"/>
      <c r="M26" s="18"/>
    </row>
    <row r="27" customFormat="false" ht="15" hidden="false" customHeight="false" outlineLevel="0" collapsed="false">
      <c r="A27" s="18"/>
      <c r="B27" s="17"/>
      <c r="C27" s="18"/>
      <c r="D27" s="18"/>
      <c r="E27" s="18"/>
      <c r="F27" s="21" t="str">
        <f aca="false">IF($C27="","",IFERROR(INDEX(SALES!$K$4:$K$63,MATCH($C27,SALES!$A$4:$A$63,0)),""))</f>
        <v/>
      </c>
      <c r="G27" s="22"/>
      <c r="H27" s="18"/>
      <c r="I27" s="18"/>
      <c r="J27" s="18"/>
      <c r="K27" s="18"/>
      <c r="L27" s="18"/>
      <c r="M27" s="18"/>
    </row>
    <row r="28" customFormat="false" ht="15" hidden="false" customHeight="false" outlineLevel="0" collapsed="false">
      <c r="A28" s="18"/>
      <c r="B28" s="17"/>
      <c r="C28" s="18"/>
      <c r="D28" s="18"/>
      <c r="E28" s="18"/>
      <c r="F28" s="21" t="str">
        <f aca="false">IF($C28="","",IFERROR(INDEX(SALES!$K$4:$K$63,MATCH($C28,SALES!$A$4:$A$63,0)),""))</f>
        <v/>
      </c>
      <c r="G28" s="22"/>
      <c r="H28" s="18"/>
      <c r="I28" s="18"/>
      <c r="J28" s="18"/>
      <c r="K28" s="18"/>
      <c r="L28" s="18"/>
      <c r="M28" s="18"/>
    </row>
    <row r="29" customFormat="false" ht="15" hidden="false" customHeight="false" outlineLevel="0" collapsed="false">
      <c r="A29" s="18"/>
      <c r="B29" s="17"/>
      <c r="C29" s="18"/>
      <c r="D29" s="18"/>
      <c r="E29" s="18"/>
      <c r="F29" s="21" t="str">
        <f aca="false">IF($C29="","",IFERROR(INDEX(SALES!$K$4:$K$63,MATCH($C29,SALES!$A$4:$A$63,0)),""))</f>
        <v/>
      </c>
      <c r="G29" s="22"/>
      <c r="H29" s="18"/>
      <c r="I29" s="18"/>
      <c r="J29" s="18"/>
      <c r="K29" s="18"/>
      <c r="L29" s="18"/>
      <c r="M29" s="18"/>
    </row>
    <row r="30" customFormat="false" ht="15" hidden="false" customHeight="false" outlineLevel="0" collapsed="false">
      <c r="A30" s="18"/>
      <c r="B30" s="17"/>
      <c r="C30" s="18"/>
      <c r="D30" s="18"/>
      <c r="E30" s="18"/>
      <c r="F30" s="21" t="str">
        <f aca="false">IF($C30="","",IFERROR(INDEX(SALES!$K$4:$K$63,MATCH($C30,SALES!$A$4:$A$63,0)),""))</f>
        <v/>
      </c>
      <c r="G30" s="22"/>
      <c r="H30" s="18"/>
      <c r="I30" s="18"/>
      <c r="J30" s="18"/>
      <c r="K30" s="18"/>
      <c r="L30" s="18"/>
      <c r="M30" s="18"/>
    </row>
    <row r="31" customFormat="false" ht="15" hidden="false" customHeight="false" outlineLevel="0" collapsed="false">
      <c r="A31" s="18"/>
      <c r="B31" s="17"/>
      <c r="C31" s="18"/>
      <c r="D31" s="18"/>
      <c r="E31" s="18"/>
      <c r="F31" s="21" t="str">
        <f aca="false">IF($C31="","",IFERROR(INDEX(SALES!$K$4:$K$63,MATCH($C31,SALES!$A$4:$A$63,0)),""))</f>
        <v/>
      </c>
      <c r="G31" s="22"/>
      <c r="H31" s="18"/>
      <c r="I31" s="18"/>
      <c r="J31" s="18"/>
      <c r="K31" s="18"/>
      <c r="L31" s="18"/>
      <c r="M31" s="18"/>
    </row>
    <row r="32" customFormat="false" ht="15" hidden="false" customHeight="false" outlineLevel="0" collapsed="false">
      <c r="A32" s="18"/>
      <c r="B32" s="17"/>
      <c r="C32" s="18"/>
      <c r="D32" s="18"/>
      <c r="E32" s="18"/>
      <c r="F32" s="21" t="str">
        <f aca="false">IF($C32="","",IFERROR(INDEX(SALES!$K$4:$K$63,MATCH($C32,SALES!$A$4:$A$63,0)),""))</f>
        <v/>
      </c>
      <c r="G32" s="22"/>
      <c r="H32" s="18"/>
      <c r="I32" s="18"/>
      <c r="J32" s="18"/>
      <c r="K32" s="18"/>
      <c r="L32" s="18"/>
      <c r="M32" s="18"/>
    </row>
    <row r="33" customFormat="false" ht="15" hidden="false" customHeight="false" outlineLevel="0" collapsed="false">
      <c r="A33" s="18"/>
      <c r="B33" s="17"/>
      <c r="C33" s="18"/>
      <c r="D33" s="18"/>
      <c r="E33" s="18"/>
      <c r="F33" s="21" t="str">
        <f aca="false">IF($C33="","",IFERROR(INDEX(SALES!$K$4:$K$63,MATCH($C33,SALES!$A$4:$A$63,0)),""))</f>
        <v/>
      </c>
      <c r="G33" s="22"/>
      <c r="H33" s="18"/>
      <c r="I33" s="18"/>
      <c r="J33" s="18"/>
      <c r="K33" s="18"/>
      <c r="L33" s="18"/>
      <c r="M33" s="18"/>
    </row>
    <row r="34" customFormat="false" ht="15" hidden="false" customHeight="false" outlineLevel="0" collapsed="false">
      <c r="A34" s="18"/>
      <c r="B34" s="17"/>
      <c r="C34" s="18"/>
      <c r="D34" s="18"/>
      <c r="E34" s="18"/>
      <c r="F34" s="21" t="str">
        <f aca="false">IF($C34="","",IFERROR(INDEX(SALES!$K$4:$K$63,MATCH($C34,SALES!$A$4:$A$63,0)),""))</f>
        <v/>
      </c>
      <c r="G34" s="22"/>
      <c r="H34" s="18"/>
      <c r="I34" s="18"/>
      <c r="J34" s="18"/>
      <c r="K34" s="18"/>
      <c r="L34" s="18"/>
      <c r="M34" s="18"/>
    </row>
    <row r="35" customFormat="false" ht="15" hidden="false" customHeight="false" outlineLevel="0" collapsed="false">
      <c r="A35" s="18"/>
      <c r="B35" s="17"/>
      <c r="C35" s="18"/>
      <c r="D35" s="18"/>
      <c r="E35" s="18"/>
      <c r="F35" s="21" t="str">
        <f aca="false">IF($C35="","",IFERROR(INDEX(SALES!$K$4:$K$63,MATCH($C35,SALES!$A$4:$A$63,0)),""))</f>
        <v/>
      </c>
      <c r="G35" s="22"/>
      <c r="H35" s="18"/>
      <c r="I35" s="18"/>
      <c r="J35" s="18"/>
      <c r="K35" s="18"/>
      <c r="L35" s="18"/>
      <c r="M35" s="18"/>
    </row>
    <row r="36" customFormat="false" ht="15" hidden="false" customHeight="false" outlineLevel="0" collapsed="false">
      <c r="A36" s="18"/>
      <c r="B36" s="17"/>
      <c r="C36" s="18"/>
      <c r="D36" s="18"/>
      <c r="E36" s="18"/>
      <c r="F36" s="21" t="str">
        <f aca="false">IF($C36="","",IFERROR(INDEX(SALES!$K$4:$K$63,MATCH($C36,SALES!$A$4:$A$63,0)),""))</f>
        <v/>
      </c>
      <c r="G36" s="22"/>
      <c r="H36" s="18"/>
      <c r="I36" s="18"/>
      <c r="J36" s="18"/>
      <c r="K36" s="18"/>
      <c r="L36" s="18"/>
      <c r="M36" s="18"/>
    </row>
    <row r="37" customFormat="false" ht="15" hidden="false" customHeight="false" outlineLevel="0" collapsed="false">
      <c r="A37" s="18"/>
      <c r="B37" s="17"/>
      <c r="C37" s="18"/>
      <c r="D37" s="18"/>
      <c r="E37" s="18"/>
      <c r="F37" s="21" t="str">
        <f aca="false">IF($C37="","",IFERROR(INDEX(SALES!$K$4:$K$63,MATCH($C37,SALES!$A$4:$A$63,0)),""))</f>
        <v/>
      </c>
      <c r="G37" s="22"/>
      <c r="H37" s="18"/>
      <c r="I37" s="18"/>
      <c r="J37" s="18"/>
      <c r="K37" s="18"/>
      <c r="L37" s="18"/>
      <c r="M37" s="18"/>
    </row>
    <row r="38" customFormat="false" ht="15" hidden="false" customHeight="false" outlineLevel="0" collapsed="false">
      <c r="A38" s="18"/>
      <c r="B38" s="17"/>
      <c r="C38" s="18"/>
      <c r="D38" s="18"/>
      <c r="E38" s="18"/>
      <c r="F38" s="21" t="str">
        <f aca="false">IF($C38="","",IFERROR(INDEX(SALES!$K$4:$K$63,MATCH($C38,SALES!$A$4:$A$63,0)),""))</f>
        <v/>
      </c>
      <c r="G38" s="22"/>
      <c r="H38" s="18"/>
      <c r="I38" s="18"/>
      <c r="J38" s="18"/>
      <c r="K38" s="18"/>
      <c r="L38" s="18"/>
      <c r="M38" s="18"/>
    </row>
    <row r="39" customFormat="false" ht="15" hidden="false" customHeight="false" outlineLevel="0" collapsed="false">
      <c r="A39" s="18"/>
      <c r="B39" s="17"/>
      <c r="C39" s="18"/>
      <c r="D39" s="18"/>
      <c r="E39" s="18"/>
      <c r="F39" s="21" t="str">
        <f aca="false">IF($C39="","",IFERROR(INDEX(SALES!$K$4:$K$63,MATCH($C39,SALES!$A$4:$A$63,0)),""))</f>
        <v/>
      </c>
      <c r="G39" s="22"/>
      <c r="H39" s="18"/>
      <c r="I39" s="18"/>
      <c r="J39" s="18"/>
      <c r="K39" s="18"/>
      <c r="L39" s="18"/>
      <c r="M39" s="18"/>
    </row>
    <row r="40" customFormat="false" ht="15" hidden="false" customHeight="false" outlineLevel="0" collapsed="false">
      <c r="A40" s="18"/>
      <c r="B40" s="17"/>
      <c r="C40" s="18"/>
      <c r="D40" s="18"/>
      <c r="E40" s="18"/>
      <c r="F40" s="21" t="str">
        <f aca="false">IF($C40="","",IFERROR(INDEX(SALES!$K$4:$K$63,MATCH($C40,SALES!$A$4:$A$63,0)),""))</f>
        <v/>
      </c>
      <c r="G40" s="22"/>
      <c r="H40" s="18"/>
      <c r="I40" s="18"/>
      <c r="J40" s="18"/>
      <c r="K40" s="18"/>
      <c r="L40" s="18"/>
      <c r="M40" s="18"/>
    </row>
    <row r="41" customFormat="false" ht="15" hidden="false" customHeight="false" outlineLevel="0" collapsed="false">
      <c r="A41" s="18"/>
      <c r="B41" s="17"/>
      <c r="C41" s="18"/>
      <c r="D41" s="18"/>
      <c r="E41" s="18"/>
      <c r="F41" s="21" t="str">
        <f aca="false">IF($C41="","",IFERROR(INDEX(SALES!$K$4:$K$63,MATCH($C41,SALES!$A$4:$A$63,0)),""))</f>
        <v/>
      </c>
      <c r="G41" s="22"/>
      <c r="H41" s="18"/>
      <c r="I41" s="18"/>
      <c r="J41" s="18"/>
      <c r="K41" s="18"/>
      <c r="L41" s="18"/>
      <c r="M41" s="18"/>
    </row>
    <row r="42" customFormat="false" ht="15" hidden="false" customHeight="false" outlineLevel="0" collapsed="false">
      <c r="A42" s="18"/>
      <c r="B42" s="17"/>
      <c r="C42" s="18"/>
      <c r="D42" s="18"/>
      <c r="E42" s="18"/>
      <c r="F42" s="21" t="str">
        <f aca="false">IF($C42="","",IFERROR(INDEX(SALES!$K$4:$K$63,MATCH($C42,SALES!$A$4:$A$63,0)),""))</f>
        <v/>
      </c>
      <c r="G42" s="22"/>
      <c r="H42" s="18"/>
      <c r="I42" s="18"/>
      <c r="J42" s="18"/>
      <c r="K42" s="18"/>
      <c r="L42" s="18"/>
      <c r="M42" s="18"/>
    </row>
    <row r="43" customFormat="false" ht="15" hidden="false" customHeight="false" outlineLevel="0" collapsed="false">
      <c r="A43" s="18"/>
      <c r="B43" s="17"/>
      <c r="C43" s="18"/>
      <c r="D43" s="18"/>
      <c r="E43" s="18"/>
      <c r="F43" s="21" t="str">
        <f aca="false">IF($C43="","",IFERROR(INDEX(SALES!$K$4:$K$63,MATCH($C43,SALES!$A$4:$A$63,0)),""))</f>
        <v/>
      </c>
      <c r="G43" s="22"/>
      <c r="H43" s="18"/>
      <c r="I43" s="18"/>
      <c r="J43" s="18"/>
      <c r="K43" s="18"/>
      <c r="L43" s="18"/>
      <c r="M43" s="18"/>
    </row>
    <row r="44" customFormat="false" ht="15" hidden="false" customHeight="false" outlineLevel="0" collapsed="false">
      <c r="A44" s="18"/>
      <c r="B44" s="17"/>
      <c r="C44" s="18"/>
      <c r="D44" s="18"/>
      <c r="E44" s="18"/>
      <c r="F44" s="21" t="str">
        <f aca="false">IF($C44="","",IFERROR(INDEX(SALES!$K$4:$K$63,MATCH($C44,SALES!$A$4:$A$63,0)),""))</f>
        <v/>
      </c>
      <c r="G44" s="22"/>
      <c r="H44" s="18"/>
      <c r="I44" s="18"/>
      <c r="J44" s="18"/>
      <c r="K44" s="18"/>
      <c r="L44" s="18"/>
      <c r="M44" s="18"/>
    </row>
    <row r="45" customFormat="false" ht="15" hidden="false" customHeight="false" outlineLevel="0" collapsed="false">
      <c r="A45" s="18"/>
      <c r="B45" s="17"/>
      <c r="C45" s="18"/>
      <c r="D45" s="18"/>
      <c r="E45" s="18"/>
      <c r="F45" s="21" t="str">
        <f aca="false">IF($C45="","",IFERROR(INDEX(SALES!$K$4:$K$63,MATCH($C45,SALES!$A$4:$A$63,0)),""))</f>
        <v/>
      </c>
      <c r="G45" s="22"/>
      <c r="H45" s="18"/>
      <c r="I45" s="18"/>
      <c r="J45" s="18"/>
      <c r="K45" s="18"/>
      <c r="L45" s="18"/>
      <c r="M45" s="18"/>
    </row>
    <row r="46" customFormat="false" ht="15" hidden="false" customHeight="false" outlineLevel="0" collapsed="false">
      <c r="A46" s="18"/>
      <c r="B46" s="17"/>
      <c r="C46" s="18"/>
      <c r="D46" s="18"/>
      <c r="E46" s="18"/>
      <c r="F46" s="21" t="str">
        <f aca="false">IF($C46="","",IFERROR(INDEX(SALES!$K$4:$K$63,MATCH($C46,SALES!$A$4:$A$63,0)),""))</f>
        <v/>
      </c>
      <c r="G46" s="22"/>
      <c r="H46" s="18"/>
      <c r="I46" s="18"/>
      <c r="J46" s="18"/>
      <c r="K46" s="18"/>
      <c r="L46" s="18"/>
      <c r="M46" s="18"/>
    </row>
    <row r="47" customFormat="false" ht="15" hidden="false" customHeight="false" outlineLevel="0" collapsed="false">
      <c r="A47" s="18"/>
      <c r="B47" s="17"/>
      <c r="C47" s="18"/>
      <c r="D47" s="18"/>
      <c r="E47" s="18"/>
      <c r="F47" s="21" t="str">
        <f aca="false">IF($C47="","",IFERROR(INDEX(SALES!$K$4:$K$63,MATCH($C47,SALES!$A$4:$A$63,0)),""))</f>
        <v/>
      </c>
      <c r="G47" s="22"/>
      <c r="H47" s="18"/>
      <c r="I47" s="18"/>
      <c r="J47" s="18"/>
      <c r="K47" s="18"/>
      <c r="L47" s="18"/>
      <c r="M47" s="18"/>
    </row>
    <row r="48" customFormat="false" ht="15" hidden="false" customHeight="false" outlineLevel="0" collapsed="false">
      <c r="A48" s="18"/>
      <c r="B48" s="17"/>
      <c r="C48" s="18"/>
      <c r="D48" s="18"/>
      <c r="E48" s="18"/>
      <c r="F48" s="21" t="str">
        <f aca="false">IF($C48="","",IFERROR(INDEX(SALES!$K$4:$K$63,MATCH($C48,SALES!$A$4:$A$63,0)),""))</f>
        <v/>
      </c>
      <c r="G48" s="22"/>
      <c r="H48" s="18"/>
      <c r="I48" s="18"/>
      <c r="J48" s="18"/>
      <c r="K48" s="18"/>
      <c r="L48" s="18"/>
      <c r="M48" s="18"/>
    </row>
    <row r="49" customFormat="false" ht="15" hidden="false" customHeight="false" outlineLevel="0" collapsed="false">
      <c r="A49" s="18"/>
      <c r="B49" s="17"/>
      <c r="C49" s="18"/>
      <c r="D49" s="18"/>
      <c r="E49" s="18"/>
      <c r="F49" s="21" t="str">
        <f aca="false">IF($C49="","",IFERROR(INDEX(SALES!$K$4:$K$63,MATCH($C49,SALES!$A$4:$A$63,0)),""))</f>
        <v/>
      </c>
      <c r="G49" s="22"/>
      <c r="H49" s="18"/>
      <c r="I49" s="18"/>
      <c r="J49" s="18"/>
      <c r="K49" s="18"/>
      <c r="L49" s="18"/>
      <c r="M49" s="18"/>
    </row>
    <row r="50" customFormat="false" ht="15" hidden="false" customHeight="false" outlineLevel="0" collapsed="false">
      <c r="A50" s="18"/>
      <c r="B50" s="17"/>
      <c r="C50" s="18"/>
      <c r="D50" s="18"/>
      <c r="E50" s="18"/>
      <c r="F50" s="21" t="str">
        <f aca="false">IF($C50="","",IFERROR(INDEX(SALES!$K$4:$K$63,MATCH($C50,SALES!$A$4:$A$63,0)),""))</f>
        <v/>
      </c>
      <c r="G50" s="22"/>
      <c r="H50" s="18"/>
      <c r="I50" s="18"/>
      <c r="J50" s="18"/>
      <c r="K50" s="18"/>
      <c r="L50" s="18"/>
      <c r="M50" s="18"/>
    </row>
    <row r="51" customFormat="false" ht="15" hidden="false" customHeight="false" outlineLevel="0" collapsed="false">
      <c r="A51" s="18"/>
      <c r="B51" s="17"/>
      <c r="C51" s="18"/>
      <c r="D51" s="18"/>
      <c r="E51" s="18"/>
      <c r="F51" s="21" t="str">
        <f aca="false">IF($C51="","",IFERROR(INDEX(SALES!$K$4:$K$63,MATCH($C51,SALES!$A$4:$A$63,0)),""))</f>
        <v/>
      </c>
      <c r="G51" s="22"/>
      <c r="H51" s="18"/>
      <c r="I51" s="18"/>
      <c r="J51" s="18"/>
      <c r="K51" s="18"/>
      <c r="L51" s="18"/>
      <c r="M51" s="18"/>
    </row>
    <row r="52" customFormat="false" ht="15" hidden="false" customHeight="false" outlineLevel="0" collapsed="false">
      <c r="A52" s="18"/>
      <c r="B52" s="17"/>
      <c r="C52" s="18"/>
      <c r="D52" s="18"/>
      <c r="E52" s="18"/>
      <c r="F52" s="21" t="str">
        <f aca="false">IF($C52="","",IFERROR(INDEX(SALES!$K$4:$K$63,MATCH($C52,SALES!$A$4:$A$63,0)),""))</f>
        <v/>
      </c>
      <c r="G52" s="22"/>
      <c r="H52" s="18"/>
      <c r="I52" s="18"/>
      <c r="J52" s="18"/>
      <c r="K52" s="18"/>
      <c r="L52" s="18"/>
      <c r="M52" s="18"/>
    </row>
    <row r="53" customFormat="false" ht="15" hidden="false" customHeight="false" outlineLevel="0" collapsed="false">
      <c r="A53" s="18"/>
      <c r="B53" s="17"/>
      <c r="C53" s="18"/>
      <c r="D53" s="18"/>
      <c r="E53" s="18"/>
      <c r="F53" s="21" t="str">
        <f aca="false">IF($C53="","",IFERROR(INDEX(SALES!$K$4:$K$63,MATCH($C53,SALES!$A$4:$A$63,0)),""))</f>
        <v/>
      </c>
      <c r="G53" s="22"/>
      <c r="H53" s="18"/>
      <c r="I53" s="18"/>
      <c r="J53" s="18"/>
      <c r="K53" s="18"/>
      <c r="L53" s="18"/>
      <c r="M53" s="18"/>
    </row>
    <row r="54" customFormat="false" ht="15" hidden="false" customHeight="false" outlineLevel="0" collapsed="false">
      <c r="A54" s="18"/>
      <c r="B54" s="17"/>
      <c r="C54" s="18"/>
      <c r="D54" s="18"/>
      <c r="E54" s="18"/>
      <c r="F54" s="21" t="str">
        <f aca="false">IF($C54="","",IFERROR(INDEX(SALES!$K$4:$K$63,MATCH($C54,SALES!$A$4:$A$63,0)),""))</f>
        <v/>
      </c>
      <c r="G54" s="22"/>
      <c r="H54" s="18"/>
      <c r="I54" s="18"/>
      <c r="J54" s="18"/>
      <c r="K54" s="18"/>
      <c r="L54" s="18"/>
      <c r="M54" s="18"/>
    </row>
    <row r="55" customFormat="false" ht="15" hidden="false" customHeight="false" outlineLevel="0" collapsed="false">
      <c r="A55" s="18"/>
      <c r="B55" s="17"/>
      <c r="C55" s="18"/>
      <c r="D55" s="18"/>
      <c r="E55" s="18"/>
      <c r="F55" s="21" t="str">
        <f aca="false">IF($C55="","",IFERROR(INDEX(SALES!$K$4:$K$63,MATCH($C55,SALES!$A$4:$A$63,0)),""))</f>
        <v/>
      </c>
      <c r="G55" s="22"/>
      <c r="H55" s="18"/>
      <c r="I55" s="18"/>
      <c r="J55" s="18"/>
      <c r="K55" s="18"/>
      <c r="L55" s="18"/>
      <c r="M55" s="18"/>
    </row>
    <row r="56" customFormat="false" ht="15" hidden="false" customHeight="false" outlineLevel="0" collapsed="false">
      <c r="A56" s="18"/>
      <c r="B56" s="17"/>
      <c r="C56" s="18"/>
      <c r="D56" s="18"/>
      <c r="E56" s="18"/>
      <c r="F56" s="21" t="str">
        <f aca="false">IF($C56="","",IFERROR(INDEX(SALES!$K$4:$K$63,MATCH($C56,SALES!$A$4:$A$63,0)),""))</f>
        <v/>
      </c>
      <c r="G56" s="22"/>
      <c r="H56" s="18"/>
      <c r="I56" s="18"/>
      <c r="J56" s="18"/>
      <c r="K56" s="18"/>
      <c r="L56" s="18"/>
      <c r="M56" s="18"/>
    </row>
    <row r="57" customFormat="false" ht="15" hidden="false" customHeight="false" outlineLevel="0" collapsed="false">
      <c r="A57" s="18"/>
      <c r="B57" s="17"/>
      <c r="C57" s="18"/>
      <c r="D57" s="18"/>
      <c r="E57" s="18"/>
      <c r="F57" s="21" t="str">
        <f aca="false">IF($C57="","",IFERROR(INDEX(SALES!$K$4:$K$63,MATCH($C57,SALES!$A$4:$A$63,0)),""))</f>
        <v/>
      </c>
      <c r="G57" s="22"/>
      <c r="H57" s="18"/>
      <c r="I57" s="18"/>
      <c r="J57" s="18"/>
      <c r="K57" s="18"/>
      <c r="L57" s="18"/>
      <c r="M57" s="18"/>
    </row>
    <row r="58" customFormat="false" ht="15" hidden="false" customHeight="false" outlineLevel="0" collapsed="false">
      <c r="A58" s="18"/>
      <c r="B58" s="17"/>
      <c r="C58" s="18"/>
      <c r="D58" s="18"/>
      <c r="E58" s="18"/>
      <c r="F58" s="21" t="str">
        <f aca="false">IF($C58="","",IFERROR(INDEX(SALES!$K$4:$K$63,MATCH($C58,SALES!$A$4:$A$63,0)),""))</f>
        <v/>
      </c>
      <c r="G58" s="22"/>
      <c r="H58" s="18"/>
      <c r="I58" s="18"/>
      <c r="J58" s="18"/>
      <c r="K58" s="18"/>
      <c r="L58" s="18"/>
      <c r="M58" s="18"/>
    </row>
    <row r="59" customFormat="false" ht="15" hidden="false" customHeight="false" outlineLevel="0" collapsed="false">
      <c r="A59" s="18"/>
      <c r="B59" s="17"/>
      <c r="C59" s="18"/>
      <c r="D59" s="18"/>
      <c r="E59" s="18"/>
      <c r="F59" s="21" t="str">
        <f aca="false">IF($C59="","",IFERROR(INDEX(SALES!$K$4:$K$63,MATCH($C59,SALES!$A$4:$A$63,0)),""))</f>
        <v/>
      </c>
      <c r="G59" s="22"/>
      <c r="H59" s="18"/>
      <c r="I59" s="18"/>
      <c r="J59" s="18"/>
      <c r="K59" s="18"/>
      <c r="L59" s="18"/>
      <c r="M59" s="18"/>
    </row>
    <row r="60" customFormat="false" ht="15" hidden="false" customHeight="false" outlineLevel="0" collapsed="false">
      <c r="A60" s="18"/>
      <c r="B60" s="17"/>
      <c r="C60" s="18"/>
      <c r="D60" s="18"/>
      <c r="E60" s="18"/>
      <c r="F60" s="21" t="str">
        <f aca="false">IF($C60="","",IFERROR(INDEX(SALES!$K$4:$K$63,MATCH($C60,SALES!$A$4:$A$63,0)),""))</f>
        <v/>
      </c>
      <c r="G60" s="22"/>
      <c r="H60" s="18"/>
      <c r="I60" s="18"/>
      <c r="J60" s="18"/>
      <c r="K60" s="18"/>
      <c r="L60" s="18"/>
      <c r="M60" s="18"/>
    </row>
    <row r="61" customFormat="false" ht="15" hidden="false" customHeight="false" outlineLevel="0" collapsed="false">
      <c r="A61" s="18"/>
      <c r="B61" s="17"/>
      <c r="C61" s="18"/>
      <c r="D61" s="18"/>
      <c r="E61" s="18"/>
      <c r="F61" s="21" t="str">
        <f aca="false">IF($C61="","",IFERROR(INDEX(SALES!$K$4:$K$63,MATCH($C61,SALES!$A$4:$A$63,0)),""))</f>
        <v/>
      </c>
      <c r="G61" s="22"/>
      <c r="H61" s="18"/>
      <c r="I61" s="18"/>
      <c r="J61" s="18"/>
      <c r="K61" s="18"/>
      <c r="L61" s="18"/>
      <c r="M61" s="18"/>
    </row>
    <row r="62" customFormat="false" ht="15" hidden="false" customHeight="false" outlineLevel="0" collapsed="false">
      <c r="A62" s="18"/>
      <c r="B62" s="17"/>
      <c r="C62" s="18"/>
      <c r="D62" s="18"/>
      <c r="E62" s="18"/>
      <c r="F62" s="21" t="str">
        <f aca="false">IF($C62="","",IFERROR(INDEX(SALES!$K$4:$K$63,MATCH($C62,SALES!$A$4:$A$63,0)),""))</f>
        <v/>
      </c>
      <c r="G62" s="22"/>
      <c r="H62" s="18"/>
      <c r="I62" s="18"/>
      <c r="J62" s="18"/>
      <c r="K62" s="18"/>
      <c r="L62" s="18"/>
      <c r="M62" s="18"/>
    </row>
    <row r="63" customFormat="false" ht="15" hidden="false" customHeight="false" outlineLevel="0" collapsed="false">
      <c r="A63" s="18"/>
      <c r="B63" s="17"/>
      <c r="C63" s="18"/>
      <c r="D63" s="18"/>
      <c r="E63" s="18"/>
      <c r="F63" s="21" t="str">
        <f aca="false">IF($C63="","",IFERROR(INDEX(SALES!$K$4:$K$63,MATCH($C63,SALES!$A$4:$A$63,0)),""))</f>
        <v/>
      </c>
      <c r="G63" s="22"/>
      <c r="H63" s="18"/>
      <c r="I63" s="18"/>
      <c r="J63" s="18"/>
      <c r="K63" s="18"/>
      <c r="L63" s="18"/>
      <c r="M63" s="18"/>
    </row>
  </sheetData>
  <sheetProtection sheet="true" password="c7e9" objects="true" scenarios="true" sort="false" autoFilter="false"/>
  <mergeCells count="2">
    <mergeCell ref="A1:M1"/>
    <mergeCell ref="A2:M2"/>
  </mergeCells>
  <dataValidations count="5">
    <dataValidation allowBlank="true" errorStyle="stop" operator="between" showDropDown="false" showErrorMessage="false" showInputMessage="false" sqref="J4:J63" type="list">
      <formula1>SETTINGS!$N$5:$N$6</formula1>
      <formula2>0</formula2>
    </dataValidation>
    <dataValidation allowBlank="true" errorStyle="stop" operator="between" showDropDown="false" showErrorMessage="false" showInputMessage="false" sqref="K4:K63" type="list">
      <formula1>SETTINGS!$F$5:$F$15</formula1>
      <formula2>0</formula2>
    </dataValidation>
    <dataValidation allowBlank="true" errorStyle="stop" operator="between" showDropDown="false" showErrorMessage="false" showInputMessage="false" sqref="L4:L63" type="list">
      <formula1>SETTINGS!$B$5:$B$8</formula1>
      <formula2>0</formula2>
    </dataValidation>
    <dataValidation allowBlank="true" errorStyle="stop" operator="between" showDropDown="false" showErrorMessage="false" showInputMessage="false" sqref="C4:C63" type="list">
      <formula1>SALES!$A$4:$A$63</formula1>
      <formula2>0</formula2>
    </dataValidation>
    <dataValidation allowBlank="true" errorStyle="stop" operator="between" showDropDown="false" showErrorMessage="false" showInputMessage="false" sqref="D4:D63" type="list">
      <formula1>'INVENTORY MASTER'!$A$4:$A$63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9" min="4" style="0" width="13"/>
    <col collapsed="false" customWidth="true" hidden="false" outlineLevel="0" max="10" min="10" style="0" width="26"/>
    <col collapsed="false" customWidth="true" hidden="false" outlineLevel="0" max="12" min="12" style="0" width="28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1" t="s">
        <v>584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585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15" t="s">
        <v>586</v>
      </c>
      <c r="B3" s="15" t="s">
        <v>169</v>
      </c>
      <c r="C3" s="15" t="s">
        <v>495</v>
      </c>
      <c r="D3" s="15" t="s">
        <v>587</v>
      </c>
      <c r="E3" s="15" t="s">
        <v>588</v>
      </c>
      <c r="F3" s="15" t="s">
        <v>589</v>
      </c>
      <c r="G3" s="15" t="s">
        <v>590</v>
      </c>
      <c r="H3" s="15" t="s">
        <v>591</v>
      </c>
      <c r="I3" s="15" t="s">
        <v>592</v>
      </c>
      <c r="J3" s="15" t="s">
        <v>221</v>
      </c>
      <c r="L3" s="37" t="s">
        <v>593</v>
      </c>
    </row>
    <row r="4" customFormat="false" ht="23.85" hidden="false" customHeight="false" outlineLevel="0" collapsed="false">
      <c r="A4" s="17" t="n">
        <v>46081</v>
      </c>
      <c r="B4" s="18" t="s">
        <v>266</v>
      </c>
      <c r="C4" s="24" t="str">
        <f aca="false">IF($B4="","",IFERROR(INDEX('INVENTORY MASTER'!$K$4:$K$63,MATCH($B4,'INVENTORY MASTER'!$A$4:$A$63,0)),""))</f>
        <v>Omega Speedmaster Moonwatch 42mm</v>
      </c>
      <c r="D4" s="24" t="str">
        <f aca="false">IF($B4="","",IFERROR(INDEX('INVENTORY MASTER'!$AR$4:$AR$63,MATCH($B4,'INVENTORY MASTER'!$A$4:$A$63,0)),""))</f>
        <v>Shop Display</v>
      </c>
      <c r="E4" s="24" t="str">
        <f aca="false">IF($B4="","",IFERROR(INDEX('INVENTORY MASTER'!$AS$4:$AS$63,MATCH($B4,'INVENTORY MASTER'!$A$4:$A$63,0)),""))</f>
        <v>Available</v>
      </c>
      <c r="F4" s="18" t="s">
        <v>232</v>
      </c>
      <c r="G4" s="18" t="s">
        <v>263</v>
      </c>
      <c r="H4" s="18" t="s">
        <v>66</v>
      </c>
      <c r="I4" s="24" t="str">
        <f aca="false">IF($B4="","",IF($F4="No","MISSING",IF($G4="","",IF($G4=$D4,"OK","LOCATION DIFF"))))</f>
        <v>OK</v>
      </c>
      <c r="J4" s="18" t="s">
        <v>527</v>
      </c>
      <c r="L4" s="35" t="s">
        <v>594</v>
      </c>
      <c r="M4" s="38" t="n">
        <f aca="false">COUNTA('STOCK TAKE'!$B$4:$B$63)</f>
        <v>3</v>
      </c>
    </row>
    <row r="5" customFormat="false" ht="15" hidden="false" customHeight="false" outlineLevel="0" collapsed="false">
      <c r="A5" s="17" t="n">
        <v>46081</v>
      </c>
      <c r="B5" s="18" t="s">
        <v>246</v>
      </c>
      <c r="C5" s="24" t="str">
        <f aca="false">IF($B5="","",IFERROR(INDEX('INVENTORY MASTER'!$K$4:$K$63,MATCH($B5,'INVENTORY MASTER'!$A$4:$A$63,0)),""))</f>
        <v>Platinum solitaire diamond ring 1.01ct</v>
      </c>
      <c r="D5" s="24" t="str">
        <f aca="false">IF($B5="","",IFERROR(INDEX('INVENTORY MASTER'!$AR$4:$AR$63,MATCH($B5,'INVENTORY MASTER'!$A$4:$A$63,0)),""))</f>
        <v>Shop Display</v>
      </c>
      <c r="E5" s="24" t="str">
        <f aca="false">IF($B5="","",IFERROR(INDEX('INVENTORY MASTER'!$AS$4:$AS$63,MATCH($B5,'INVENTORY MASTER'!$A$4:$A$63,0)),""))</f>
        <v>Available</v>
      </c>
      <c r="F5" s="18" t="s">
        <v>232</v>
      </c>
      <c r="G5" s="18" t="s">
        <v>263</v>
      </c>
      <c r="H5" s="18" t="s">
        <v>66</v>
      </c>
      <c r="I5" s="24" t="str">
        <f aca="false">IF($B5="","",IF($F5="No","MISSING",IF($G5="","",IF($G5=$D5,"OK","LOCATION DIFF"))))</f>
        <v>OK</v>
      </c>
      <c r="J5" s="18" t="s">
        <v>527</v>
      </c>
      <c r="L5" s="35" t="s">
        <v>595</v>
      </c>
      <c r="M5" s="38" t="n">
        <f aca="false">COUNTIF('STOCK TAKE'!$F$4:$F$63,"Yes")</f>
        <v>2</v>
      </c>
    </row>
    <row r="6" customFormat="false" ht="23.85" hidden="false" customHeight="false" outlineLevel="0" collapsed="false">
      <c r="A6" s="17" t="n">
        <v>46081</v>
      </c>
      <c r="B6" s="18" t="s">
        <v>296</v>
      </c>
      <c r="C6" s="24" t="str">
        <f aca="false">IF($B6="","",IFERROR(INDEX('INVENTORY MASTER'!$K$4:$K$63,MATCH($B6,'INVENTORY MASTER'!$A$4:$A$63,0)),""))</f>
        <v>Cartier Santos Medium steel</v>
      </c>
      <c r="D6" s="24" t="str">
        <f aca="false">IF($B6="","",IFERROR(INDEX('INVENTORY MASTER'!$AR$4:$AR$63,MATCH($B6,'INVENTORY MASTER'!$A$4:$A$63,0)),""))</f>
        <v>Partner 3</v>
      </c>
      <c r="E6" s="24" t="str">
        <f aca="false">IF($B6="","",IFERROR(INDEX('INVENTORY MASTER'!$AS$4:$AS$63,MATCH($B6,'INVENTORY MASTER'!$A$4:$A$63,0)),""))</f>
        <v>With Partner</v>
      </c>
      <c r="F6" s="18" t="s">
        <v>275</v>
      </c>
      <c r="G6" s="18"/>
      <c r="H6" s="18" t="s">
        <v>66</v>
      </c>
      <c r="I6" s="24" t="str">
        <f aca="false">IF($B6="","",IF($F6="No","MISSING",IF($G6="","",IF($G6=$D6,"OK","LOCATION DIFF"))))</f>
        <v>MISSING</v>
      </c>
      <c r="J6" s="18" t="s">
        <v>596</v>
      </c>
      <c r="L6" s="35" t="s">
        <v>33</v>
      </c>
      <c r="M6" s="38" t="n">
        <f aca="false">COUNTIF('STOCK TAKE'!$F$4:$F$63,"No")</f>
        <v>1</v>
      </c>
    </row>
    <row r="7" customFormat="false" ht="15" hidden="false" customHeight="false" outlineLevel="0" collapsed="false">
      <c r="A7" s="17"/>
      <c r="B7" s="18"/>
      <c r="C7" s="24" t="str">
        <f aca="false">IF($B7="","",IFERROR(INDEX('INVENTORY MASTER'!$K$4:$K$63,MATCH($B7,'INVENTORY MASTER'!$A$4:$A$63,0)),""))</f>
        <v/>
      </c>
      <c r="D7" s="24" t="str">
        <f aca="false">IF($B7="","",IFERROR(INDEX('INVENTORY MASTER'!$AR$4:$AR$63,MATCH($B7,'INVENTORY MASTER'!$A$4:$A$63,0)),""))</f>
        <v/>
      </c>
      <c r="E7" s="24" t="str">
        <f aca="false">IF($B7="","",IFERROR(INDEX('INVENTORY MASTER'!$AS$4:$AS$63,MATCH($B7,'INVENTORY MASTER'!$A$4:$A$63,0)),""))</f>
        <v/>
      </c>
      <c r="F7" s="18"/>
      <c r="G7" s="18"/>
      <c r="H7" s="18"/>
      <c r="I7" s="24" t="str">
        <f aca="false">IF($B7="","",IF($F7="No","MISSING",IF($G7="","",IF($G7=$D7,"OK","LOCATION DIFF"))))</f>
        <v/>
      </c>
      <c r="J7" s="18"/>
      <c r="L7" s="35" t="s">
        <v>597</v>
      </c>
      <c r="M7" s="38" t="n">
        <f aca="false">COUNTIF('STOCK TAKE'!$I$4:$I$63,"LOCATION DIFF")</f>
        <v>0</v>
      </c>
    </row>
    <row r="8" customFormat="false" ht="15" hidden="false" customHeight="false" outlineLevel="0" collapsed="false">
      <c r="A8" s="17"/>
      <c r="B8" s="18"/>
      <c r="C8" s="24" t="str">
        <f aca="false">IF($B8="","",IFERROR(INDEX('INVENTORY MASTER'!$K$4:$K$63,MATCH($B8,'INVENTORY MASTER'!$A$4:$A$63,0)),""))</f>
        <v/>
      </c>
      <c r="D8" s="24" t="str">
        <f aca="false">IF($B8="","",IFERROR(INDEX('INVENTORY MASTER'!$AR$4:$AR$63,MATCH($B8,'INVENTORY MASTER'!$A$4:$A$63,0)),""))</f>
        <v/>
      </c>
      <c r="E8" s="24" t="str">
        <f aca="false">IF($B8="","",IFERROR(INDEX('INVENTORY MASTER'!$AS$4:$AS$63,MATCH($B8,'INVENTORY MASTER'!$A$4:$A$63,0)),""))</f>
        <v/>
      </c>
      <c r="F8" s="18"/>
      <c r="G8" s="18"/>
      <c r="H8" s="18"/>
      <c r="I8" s="24" t="str">
        <f aca="false">IF($B8="","",IF($F8="No","MISSING",IF($G8="","",IF($G8=$D8,"OK","LOCATION DIFF"))))</f>
        <v/>
      </c>
      <c r="J8" s="18"/>
      <c r="L8" s="35" t="s">
        <v>598</v>
      </c>
      <c r="M8" s="31" t="n">
        <f aca="false">SUMPRODUCT(('STOCK TAKE'!$F$4:$F$63="No")*IFERROR(INDEX('INVENTORY MASTER'!$AI$4:$AI$63,MATCH('STOCK TAKE'!$B$4:$B$63,'INVENTORY MASTER'!$A$4:$A$63,0)),0))</f>
        <v>4790</v>
      </c>
    </row>
    <row r="9" customFormat="false" ht="15" hidden="false" customHeight="false" outlineLevel="0" collapsed="false">
      <c r="A9" s="17"/>
      <c r="B9" s="18"/>
      <c r="C9" s="24" t="str">
        <f aca="false">IF($B9="","",IFERROR(INDEX('INVENTORY MASTER'!$K$4:$K$63,MATCH($B9,'INVENTORY MASTER'!$A$4:$A$63,0)),""))</f>
        <v/>
      </c>
      <c r="D9" s="24" t="str">
        <f aca="false">IF($B9="","",IFERROR(INDEX('INVENTORY MASTER'!$AR$4:$AR$63,MATCH($B9,'INVENTORY MASTER'!$A$4:$A$63,0)),""))</f>
        <v/>
      </c>
      <c r="E9" s="24" t="str">
        <f aca="false">IF($B9="","",IFERROR(INDEX('INVENTORY MASTER'!$AS$4:$AS$63,MATCH($B9,'INVENTORY MASTER'!$A$4:$A$63,0)),""))</f>
        <v/>
      </c>
      <c r="F9" s="18"/>
      <c r="G9" s="18"/>
      <c r="H9" s="18"/>
      <c r="I9" s="24" t="str">
        <f aca="false">IF($B9="","",IF($F9="No","MISSING",IF($G9="","",IF($G9=$D9,"OK","LOCATION DIFF"))))</f>
        <v/>
      </c>
      <c r="J9" s="18"/>
    </row>
    <row r="10" customFormat="false" ht="15" hidden="false" customHeight="false" outlineLevel="0" collapsed="false">
      <c r="A10" s="17"/>
      <c r="B10" s="18"/>
      <c r="C10" s="24" t="str">
        <f aca="false">IF($B10="","",IFERROR(INDEX('INVENTORY MASTER'!$K$4:$K$63,MATCH($B10,'INVENTORY MASTER'!$A$4:$A$63,0)),""))</f>
        <v/>
      </c>
      <c r="D10" s="24" t="str">
        <f aca="false">IF($B10="","",IFERROR(INDEX('INVENTORY MASTER'!$AR$4:$AR$63,MATCH($B10,'INVENTORY MASTER'!$A$4:$A$63,0)),""))</f>
        <v/>
      </c>
      <c r="E10" s="24" t="str">
        <f aca="false">IF($B10="","",IFERROR(INDEX('INVENTORY MASTER'!$AS$4:$AS$63,MATCH($B10,'INVENTORY MASTER'!$A$4:$A$63,0)),""))</f>
        <v/>
      </c>
      <c r="F10" s="18"/>
      <c r="G10" s="18"/>
      <c r="H10" s="18"/>
      <c r="I10" s="24" t="str">
        <f aca="false">IF($B10="","",IF($F10="No","MISSING",IF($G10="","",IF($G10=$D10,"OK","LOCATION DIFF"))))</f>
        <v/>
      </c>
      <c r="J10" s="18"/>
    </row>
    <row r="11" customFormat="false" ht="15" hidden="false" customHeight="false" outlineLevel="0" collapsed="false">
      <c r="A11" s="17"/>
      <c r="B11" s="18"/>
      <c r="C11" s="24" t="str">
        <f aca="false">IF($B11="","",IFERROR(INDEX('INVENTORY MASTER'!$K$4:$K$63,MATCH($B11,'INVENTORY MASTER'!$A$4:$A$63,0)),""))</f>
        <v/>
      </c>
      <c r="D11" s="24" t="str">
        <f aca="false">IF($B11="","",IFERROR(INDEX('INVENTORY MASTER'!$AR$4:$AR$63,MATCH($B11,'INVENTORY MASTER'!$A$4:$A$63,0)),""))</f>
        <v/>
      </c>
      <c r="E11" s="24" t="str">
        <f aca="false">IF($B11="","",IFERROR(INDEX('INVENTORY MASTER'!$AS$4:$AS$63,MATCH($B11,'INVENTORY MASTER'!$A$4:$A$63,0)),""))</f>
        <v/>
      </c>
      <c r="F11" s="18"/>
      <c r="G11" s="18"/>
      <c r="H11" s="18"/>
      <c r="I11" s="24" t="str">
        <f aca="false">IF($B11="","",IF($F11="No","MISSING",IF($G11="","",IF($G11=$D11,"OK","LOCATION DIFF"))))</f>
        <v/>
      </c>
      <c r="J11" s="18"/>
    </row>
    <row r="12" customFormat="false" ht="15" hidden="false" customHeight="false" outlineLevel="0" collapsed="false">
      <c r="A12" s="17"/>
      <c r="B12" s="18"/>
      <c r="C12" s="24" t="str">
        <f aca="false">IF($B12="","",IFERROR(INDEX('INVENTORY MASTER'!$K$4:$K$63,MATCH($B12,'INVENTORY MASTER'!$A$4:$A$63,0)),""))</f>
        <v/>
      </c>
      <c r="D12" s="24" t="str">
        <f aca="false">IF($B12="","",IFERROR(INDEX('INVENTORY MASTER'!$AR$4:$AR$63,MATCH($B12,'INVENTORY MASTER'!$A$4:$A$63,0)),""))</f>
        <v/>
      </c>
      <c r="E12" s="24" t="str">
        <f aca="false">IF($B12="","",IFERROR(INDEX('INVENTORY MASTER'!$AS$4:$AS$63,MATCH($B12,'INVENTORY MASTER'!$A$4:$A$63,0)),""))</f>
        <v/>
      </c>
      <c r="F12" s="18"/>
      <c r="G12" s="18"/>
      <c r="H12" s="18"/>
      <c r="I12" s="24" t="str">
        <f aca="false">IF($B12="","",IF($F12="No","MISSING",IF($G12="","",IF($G12=$D12,"OK","LOCATION DIFF"))))</f>
        <v/>
      </c>
      <c r="J12" s="18"/>
    </row>
    <row r="13" customFormat="false" ht="15" hidden="false" customHeight="false" outlineLevel="0" collapsed="false">
      <c r="A13" s="17"/>
      <c r="B13" s="18"/>
      <c r="C13" s="24" t="str">
        <f aca="false">IF($B13="","",IFERROR(INDEX('INVENTORY MASTER'!$K$4:$K$63,MATCH($B13,'INVENTORY MASTER'!$A$4:$A$63,0)),""))</f>
        <v/>
      </c>
      <c r="D13" s="24" t="str">
        <f aca="false">IF($B13="","",IFERROR(INDEX('INVENTORY MASTER'!$AR$4:$AR$63,MATCH($B13,'INVENTORY MASTER'!$A$4:$A$63,0)),""))</f>
        <v/>
      </c>
      <c r="E13" s="24" t="str">
        <f aca="false">IF($B13="","",IFERROR(INDEX('INVENTORY MASTER'!$AS$4:$AS$63,MATCH($B13,'INVENTORY MASTER'!$A$4:$A$63,0)),""))</f>
        <v/>
      </c>
      <c r="F13" s="18"/>
      <c r="G13" s="18"/>
      <c r="H13" s="18"/>
      <c r="I13" s="24" t="str">
        <f aca="false">IF($B13="","",IF($F13="No","MISSING",IF($G13="","",IF($G13=$D13,"OK","LOCATION DIFF"))))</f>
        <v/>
      </c>
      <c r="J13" s="18"/>
    </row>
    <row r="14" customFormat="false" ht="15" hidden="false" customHeight="false" outlineLevel="0" collapsed="false">
      <c r="A14" s="17"/>
      <c r="B14" s="18"/>
      <c r="C14" s="24" t="str">
        <f aca="false">IF($B14="","",IFERROR(INDEX('INVENTORY MASTER'!$K$4:$K$63,MATCH($B14,'INVENTORY MASTER'!$A$4:$A$63,0)),""))</f>
        <v/>
      </c>
      <c r="D14" s="24" t="str">
        <f aca="false">IF($B14="","",IFERROR(INDEX('INVENTORY MASTER'!$AR$4:$AR$63,MATCH($B14,'INVENTORY MASTER'!$A$4:$A$63,0)),""))</f>
        <v/>
      </c>
      <c r="E14" s="24" t="str">
        <f aca="false">IF($B14="","",IFERROR(INDEX('INVENTORY MASTER'!$AS$4:$AS$63,MATCH($B14,'INVENTORY MASTER'!$A$4:$A$63,0)),""))</f>
        <v/>
      </c>
      <c r="F14" s="18"/>
      <c r="G14" s="18"/>
      <c r="H14" s="18"/>
      <c r="I14" s="24" t="str">
        <f aca="false">IF($B14="","",IF($F14="No","MISSING",IF($G14="","",IF($G14=$D14,"OK","LOCATION DIFF"))))</f>
        <v/>
      </c>
      <c r="J14" s="18"/>
    </row>
    <row r="15" customFormat="false" ht="15" hidden="false" customHeight="false" outlineLevel="0" collapsed="false">
      <c r="A15" s="17"/>
      <c r="B15" s="18"/>
      <c r="C15" s="24" t="str">
        <f aca="false">IF($B15="","",IFERROR(INDEX('INVENTORY MASTER'!$K$4:$K$63,MATCH($B15,'INVENTORY MASTER'!$A$4:$A$63,0)),""))</f>
        <v/>
      </c>
      <c r="D15" s="24" t="str">
        <f aca="false">IF($B15="","",IFERROR(INDEX('INVENTORY MASTER'!$AR$4:$AR$63,MATCH($B15,'INVENTORY MASTER'!$A$4:$A$63,0)),""))</f>
        <v/>
      </c>
      <c r="E15" s="24" t="str">
        <f aca="false">IF($B15="","",IFERROR(INDEX('INVENTORY MASTER'!$AS$4:$AS$63,MATCH($B15,'INVENTORY MASTER'!$A$4:$A$63,0)),""))</f>
        <v/>
      </c>
      <c r="F15" s="18"/>
      <c r="G15" s="18"/>
      <c r="H15" s="18"/>
      <c r="I15" s="24" t="str">
        <f aca="false">IF($B15="","",IF($F15="No","MISSING",IF($G15="","",IF($G15=$D15,"OK","LOCATION DIFF"))))</f>
        <v/>
      </c>
      <c r="J15" s="18"/>
    </row>
    <row r="16" customFormat="false" ht="15" hidden="false" customHeight="false" outlineLevel="0" collapsed="false">
      <c r="A16" s="17"/>
      <c r="B16" s="18"/>
      <c r="C16" s="24" t="str">
        <f aca="false">IF($B16="","",IFERROR(INDEX('INVENTORY MASTER'!$K$4:$K$63,MATCH($B16,'INVENTORY MASTER'!$A$4:$A$63,0)),""))</f>
        <v/>
      </c>
      <c r="D16" s="24" t="str">
        <f aca="false">IF($B16="","",IFERROR(INDEX('INVENTORY MASTER'!$AR$4:$AR$63,MATCH($B16,'INVENTORY MASTER'!$A$4:$A$63,0)),""))</f>
        <v/>
      </c>
      <c r="E16" s="24" t="str">
        <f aca="false">IF($B16="","",IFERROR(INDEX('INVENTORY MASTER'!$AS$4:$AS$63,MATCH($B16,'INVENTORY MASTER'!$A$4:$A$63,0)),""))</f>
        <v/>
      </c>
      <c r="F16" s="18"/>
      <c r="G16" s="18"/>
      <c r="H16" s="18"/>
      <c r="I16" s="24" t="str">
        <f aca="false">IF($B16="","",IF($F16="No","MISSING",IF($G16="","",IF($G16=$D16,"OK","LOCATION DIFF"))))</f>
        <v/>
      </c>
      <c r="J16" s="18"/>
    </row>
    <row r="17" customFormat="false" ht="15" hidden="false" customHeight="false" outlineLevel="0" collapsed="false">
      <c r="A17" s="17"/>
      <c r="B17" s="18"/>
      <c r="C17" s="24" t="str">
        <f aca="false">IF($B17="","",IFERROR(INDEX('INVENTORY MASTER'!$K$4:$K$63,MATCH($B17,'INVENTORY MASTER'!$A$4:$A$63,0)),""))</f>
        <v/>
      </c>
      <c r="D17" s="24" t="str">
        <f aca="false">IF($B17="","",IFERROR(INDEX('INVENTORY MASTER'!$AR$4:$AR$63,MATCH($B17,'INVENTORY MASTER'!$A$4:$A$63,0)),""))</f>
        <v/>
      </c>
      <c r="E17" s="24" t="str">
        <f aca="false">IF($B17="","",IFERROR(INDEX('INVENTORY MASTER'!$AS$4:$AS$63,MATCH($B17,'INVENTORY MASTER'!$A$4:$A$63,0)),""))</f>
        <v/>
      </c>
      <c r="F17" s="18"/>
      <c r="G17" s="18"/>
      <c r="H17" s="18"/>
      <c r="I17" s="24" t="str">
        <f aca="false">IF($B17="","",IF($F17="No","MISSING",IF($G17="","",IF($G17=$D17,"OK","LOCATION DIFF"))))</f>
        <v/>
      </c>
      <c r="J17" s="18"/>
    </row>
    <row r="18" customFormat="false" ht="15" hidden="false" customHeight="false" outlineLevel="0" collapsed="false">
      <c r="A18" s="17"/>
      <c r="B18" s="18"/>
      <c r="C18" s="24" t="str">
        <f aca="false">IF($B18="","",IFERROR(INDEX('INVENTORY MASTER'!$K$4:$K$63,MATCH($B18,'INVENTORY MASTER'!$A$4:$A$63,0)),""))</f>
        <v/>
      </c>
      <c r="D18" s="24" t="str">
        <f aca="false">IF($B18="","",IFERROR(INDEX('INVENTORY MASTER'!$AR$4:$AR$63,MATCH($B18,'INVENTORY MASTER'!$A$4:$A$63,0)),""))</f>
        <v/>
      </c>
      <c r="E18" s="24" t="str">
        <f aca="false">IF($B18="","",IFERROR(INDEX('INVENTORY MASTER'!$AS$4:$AS$63,MATCH($B18,'INVENTORY MASTER'!$A$4:$A$63,0)),""))</f>
        <v/>
      </c>
      <c r="F18" s="18"/>
      <c r="G18" s="18"/>
      <c r="H18" s="18"/>
      <c r="I18" s="24" t="str">
        <f aca="false">IF($B18="","",IF($F18="No","MISSING",IF($G18="","",IF($G18=$D18,"OK","LOCATION DIFF"))))</f>
        <v/>
      </c>
      <c r="J18" s="18"/>
    </row>
    <row r="19" customFormat="false" ht="15" hidden="false" customHeight="false" outlineLevel="0" collapsed="false">
      <c r="A19" s="17"/>
      <c r="B19" s="18"/>
      <c r="C19" s="24" t="str">
        <f aca="false">IF($B19="","",IFERROR(INDEX('INVENTORY MASTER'!$K$4:$K$63,MATCH($B19,'INVENTORY MASTER'!$A$4:$A$63,0)),""))</f>
        <v/>
      </c>
      <c r="D19" s="24" t="str">
        <f aca="false">IF($B19="","",IFERROR(INDEX('INVENTORY MASTER'!$AR$4:$AR$63,MATCH($B19,'INVENTORY MASTER'!$A$4:$A$63,0)),""))</f>
        <v/>
      </c>
      <c r="E19" s="24" t="str">
        <f aca="false">IF($B19="","",IFERROR(INDEX('INVENTORY MASTER'!$AS$4:$AS$63,MATCH($B19,'INVENTORY MASTER'!$A$4:$A$63,0)),""))</f>
        <v/>
      </c>
      <c r="F19" s="18"/>
      <c r="G19" s="18"/>
      <c r="H19" s="18"/>
      <c r="I19" s="24" t="str">
        <f aca="false">IF($B19="","",IF($F19="No","MISSING",IF($G19="","",IF($G19=$D19,"OK","LOCATION DIFF"))))</f>
        <v/>
      </c>
      <c r="J19" s="18"/>
    </row>
    <row r="20" customFormat="false" ht="15" hidden="false" customHeight="false" outlineLevel="0" collapsed="false">
      <c r="A20" s="17"/>
      <c r="B20" s="18"/>
      <c r="C20" s="24" t="str">
        <f aca="false">IF($B20="","",IFERROR(INDEX('INVENTORY MASTER'!$K$4:$K$63,MATCH($B20,'INVENTORY MASTER'!$A$4:$A$63,0)),""))</f>
        <v/>
      </c>
      <c r="D20" s="24" t="str">
        <f aca="false">IF($B20="","",IFERROR(INDEX('INVENTORY MASTER'!$AR$4:$AR$63,MATCH($B20,'INVENTORY MASTER'!$A$4:$A$63,0)),""))</f>
        <v/>
      </c>
      <c r="E20" s="24" t="str">
        <f aca="false">IF($B20="","",IFERROR(INDEX('INVENTORY MASTER'!$AS$4:$AS$63,MATCH($B20,'INVENTORY MASTER'!$A$4:$A$63,0)),""))</f>
        <v/>
      </c>
      <c r="F20" s="18"/>
      <c r="G20" s="18"/>
      <c r="H20" s="18"/>
      <c r="I20" s="24" t="str">
        <f aca="false">IF($B20="","",IF($F20="No","MISSING",IF($G20="","",IF($G20=$D20,"OK","LOCATION DIFF"))))</f>
        <v/>
      </c>
      <c r="J20" s="18"/>
    </row>
    <row r="21" customFormat="false" ht="15" hidden="false" customHeight="false" outlineLevel="0" collapsed="false">
      <c r="A21" s="17"/>
      <c r="B21" s="18"/>
      <c r="C21" s="24" t="str">
        <f aca="false">IF($B21="","",IFERROR(INDEX('INVENTORY MASTER'!$K$4:$K$63,MATCH($B21,'INVENTORY MASTER'!$A$4:$A$63,0)),""))</f>
        <v/>
      </c>
      <c r="D21" s="24" t="str">
        <f aca="false">IF($B21="","",IFERROR(INDEX('INVENTORY MASTER'!$AR$4:$AR$63,MATCH($B21,'INVENTORY MASTER'!$A$4:$A$63,0)),""))</f>
        <v/>
      </c>
      <c r="E21" s="24" t="str">
        <f aca="false">IF($B21="","",IFERROR(INDEX('INVENTORY MASTER'!$AS$4:$AS$63,MATCH($B21,'INVENTORY MASTER'!$A$4:$A$63,0)),""))</f>
        <v/>
      </c>
      <c r="F21" s="18"/>
      <c r="G21" s="18"/>
      <c r="H21" s="18"/>
      <c r="I21" s="24" t="str">
        <f aca="false">IF($B21="","",IF($F21="No","MISSING",IF($G21="","",IF($G21=$D21,"OK","LOCATION DIFF"))))</f>
        <v/>
      </c>
      <c r="J21" s="18"/>
    </row>
    <row r="22" customFormat="false" ht="15" hidden="false" customHeight="false" outlineLevel="0" collapsed="false">
      <c r="A22" s="17"/>
      <c r="B22" s="18"/>
      <c r="C22" s="24" t="str">
        <f aca="false">IF($B22="","",IFERROR(INDEX('INVENTORY MASTER'!$K$4:$K$63,MATCH($B22,'INVENTORY MASTER'!$A$4:$A$63,0)),""))</f>
        <v/>
      </c>
      <c r="D22" s="24" t="str">
        <f aca="false">IF($B22="","",IFERROR(INDEX('INVENTORY MASTER'!$AR$4:$AR$63,MATCH($B22,'INVENTORY MASTER'!$A$4:$A$63,0)),""))</f>
        <v/>
      </c>
      <c r="E22" s="24" t="str">
        <f aca="false">IF($B22="","",IFERROR(INDEX('INVENTORY MASTER'!$AS$4:$AS$63,MATCH($B22,'INVENTORY MASTER'!$A$4:$A$63,0)),""))</f>
        <v/>
      </c>
      <c r="F22" s="18"/>
      <c r="G22" s="18"/>
      <c r="H22" s="18"/>
      <c r="I22" s="24" t="str">
        <f aca="false">IF($B22="","",IF($F22="No","MISSING",IF($G22="","",IF($G22=$D22,"OK","LOCATION DIFF"))))</f>
        <v/>
      </c>
      <c r="J22" s="18"/>
    </row>
    <row r="23" customFormat="false" ht="15" hidden="false" customHeight="false" outlineLevel="0" collapsed="false">
      <c r="A23" s="17"/>
      <c r="B23" s="18"/>
      <c r="C23" s="24" t="str">
        <f aca="false">IF($B23="","",IFERROR(INDEX('INVENTORY MASTER'!$K$4:$K$63,MATCH($B23,'INVENTORY MASTER'!$A$4:$A$63,0)),""))</f>
        <v/>
      </c>
      <c r="D23" s="24" t="str">
        <f aca="false">IF($B23="","",IFERROR(INDEX('INVENTORY MASTER'!$AR$4:$AR$63,MATCH($B23,'INVENTORY MASTER'!$A$4:$A$63,0)),""))</f>
        <v/>
      </c>
      <c r="E23" s="24" t="str">
        <f aca="false">IF($B23="","",IFERROR(INDEX('INVENTORY MASTER'!$AS$4:$AS$63,MATCH($B23,'INVENTORY MASTER'!$A$4:$A$63,0)),""))</f>
        <v/>
      </c>
      <c r="F23" s="18"/>
      <c r="G23" s="18"/>
      <c r="H23" s="18"/>
      <c r="I23" s="24" t="str">
        <f aca="false">IF($B23="","",IF($F23="No","MISSING",IF($G23="","",IF($G23=$D23,"OK","LOCATION DIFF"))))</f>
        <v/>
      </c>
      <c r="J23" s="18"/>
    </row>
    <row r="24" customFormat="false" ht="15" hidden="false" customHeight="false" outlineLevel="0" collapsed="false">
      <c r="A24" s="17"/>
      <c r="B24" s="18"/>
      <c r="C24" s="24" t="str">
        <f aca="false">IF($B24="","",IFERROR(INDEX('INVENTORY MASTER'!$K$4:$K$63,MATCH($B24,'INVENTORY MASTER'!$A$4:$A$63,0)),""))</f>
        <v/>
      </c>
      <c r="D24" s="24" t="str">
        <f aca="false">IF($B24="","",IFERROR(INDEX('INVENTORY MASTER'!$AR$4:$AR$63,MATCH($B24,'INVENTORY MASTER'!$A$4:$A$63,0)),""))</f>
        <v/>
      </c>
      <c r="E24" s="24" t="str">
        <f aca="false">IF($B24="","",IFERROR(INDEX('INVENTORY MASTER'!$AS$4:$AS$63,MATCH($B24,'INVENTORY MASTER'!$A$4:$A$63,0)),""))</f>
        <v/>
      </c>
      <c r="F24" s="18"/>
      <c r="G24" s="18"/>
      <c r="H24" s="18"/>
      <c r="I24" s="24" t="str">
        <f aca="false">IF($B24="","",IF($F24="No","MISSING",IF($G24="","",IF($G24=$D24,"OK","LOCATION DIFF"))))</f>
        <v/>
      </c>
      <c r="J24" s="18"/>
    </row>
    <row r="25" customFormat="false" ht="15" hidden="false" customHeight="false" outlineLevel="0" collapsed="false">
      <c r="A25" s="17"/>
      <c r="B25" s="18"/>
      <c r="C25" s="24" t="str">
        <f aca="false">IF($B25="","",IFERROR(INDEX('INVENTORY MASTER'!$K$4:$K$63,MATCH($B25,'INVENTORY MASTER'!$A$4:$A$63,0)),""))</f>
        <v/>
      </c>
      <c r="D25" s="24" t="str">
        <f aca="false">IF($B25="","",IFERROR(INDEX('INVENTORY MASTER'!$AR$4:$AR$63,MATCH($B25,'INVENTORY MASTER'!$A$4:$A$63,0)),""))</f>
        <v/>
      </c>
      <c r="E25" s="24" t="str">
        <f aca="false">IF($B25="","",IFERROR(INDEX('INVENTORY MASTER'!$AS$4:$AS$63,MATCH($B25,'INVENTORY MASTER'!$A$4:$A$63,0)),""))</f>
        <v/>
      </c>
      <c r="F25" s="18"/>
      <c r="G25" s="18"/>
      <c r="H25" s="18"/>
      <c r="I25" s="24" t="str">
        <f aca="false">IF($B25="","",IF($F25="No","MISSING",IF($G25="","",IF($G25=$D25,"OK","LOCATION DIFF"))))</f>
        <v/>
      </c>
      <c r="J25" s="18"/>
    </row>
    <row r="26" customFormat="false" ht="15" hidden="false" customHeight="false" outlineLevel="0" collapsed="false">
      <c r="A26" s="17"/>
      <c r="B26" s="18"/>
      <c r="C26" s="24" t="str">
        <f aca="false">IF($B26="","",IFERROR(INDEX('INVENTORY MASTER'!$K$4:$K$63,MATCH($B26,'INVENTORY MASTER'!$A$4:$A$63,0)),""))</f>
        <v/>
      </c>
      <c r="D26" s="24" t="str">
        <f aca="false">IF($B26="","",IFERROR(INDEX('INVENTORY MASTER'!$AR$4:$AR$63,MATCH($B26,'INVENTORY MASTER'!$A$4:$A$63,0)),""))</f>
        <v/>
      </c>
      <c r="E26" s="24" t="str">
        <f aca="false">IF($B26="","",IFERROR(INDEX('INVENTORY MASTER'!$AS$4:$AS$63,MATCH($B26,'INVENTORY MASTER'!$A$4:$A$63,0)),""))</f>
        <v/>
      </c>
      <c r="F26" s="18"/>
      <c r="G26" s="18"/>
      <c r="H26" s="18"/>
      <c r="I26" s="24" t="str">
        <f aca="false">IF($B26="","",IF($F26="No","MISSING",IF($G26="","",IF($G26=$D26,"OK","LOCATION DIFF"))))</f>
        <v/>
      </c>
      <c r="J26" s="18"/>
    </row>
    <row r="27" customFormat="false" ht="15" hidden="false" customHeight="false" outlineLevel="0" collapsed="false">
      <c r="A27" s="17"/>
      <c r="B27" s="18"/>
      <c r="C27" s="24" t="str">
        <f aca="false">IF($B27="","",IFERROR(INDEX('INVENTORY MASTER'!$K$4:$K$63,MATCH($B27,'INVENTORY MASTER'!$A$4:$A$63,0)),""))</f>
        <v/>
      </c>
      <c r="D27" s="24" t="str">
        <f aca="false">IF($B27="","",IFERROR(INDEX('INVENTORY MASTER'!$AR$4:$AR$63,MATCH($B27,'INVENTORY MASTER'!$A$4:$A$63,0)),""))</f>
        <v/>
      </c>
      <c r="E27" s="24" t="str">
        <f aca="false">IF($B27="","",IFERROR(INDEX('INVENTORY MASTER'!$AS$4:$AS$63,MATCH($B27,'INVENTORY MASTER'!$A$4:$A$63,0)),""))</f>
        <v/>
      </c>
      <c r="F27" s="18"/>
      <c r="G27" s="18"/>
      <c r="H27" s="18"/>
      <c r="I27" s="24" t="str">
        <f aca="false">IF($B27="","",IF($F27="No","MISSING",IF($G27="","",IF($G27=$D27,"OK","LOCATION DIFF"))))</f>
        <v/>
      </c>
      <c r="J27" s="18"/>
    </row>
    <row r="28" customFormat="false" ht="15" hidden="false" customHeight="false" outlineLevel="0" collapsed="false">
      <c r="A28" s="17"/>
      <c r="B28" s="18"/>
      <c r="C28" s="24" t="str">
        <f aca="false">IF($B28="","",IFERROR(INDEX('INVENTORY MASTER'!$K$4:$K$63,MATCH($B28,'INVENTORY MASTER'!$A$4:$A$63,0)),""))</f>
        <v/>
      </c>
      <c r="D28" s="24" t="str">
        <f aca="false">IF($B28="","",IFERROR(INDEX('INVENTORY MASTER'!$AR$4:$AR$63,MATCH($B28,'INVENTORY MASTER'!$A$4:$A$63,0)),""))</f>
        <v/>
      </c>
      <c r="E28" s="24" t="str">
        <f aca="false">IF($B28="","",IFERROR(INDEX('INVENTORY MASTER'!$AS$4:$AS$63,MATCH($B28,'INVENTORY MASTER'!$A$4:$A$63,0)),""))</f>
        <v/>
      </c>
      <c r="F28" s="18"/>
      <c r="G28" s="18"/>
      <c r="H28" s="18"/>
      <c r="I28" s="24" t="str">
        <f aca="false">IF($B28="","",IF($F28="No","MISSING",IF($G28="","",IF($G28=$D28,"OK","LOCATION DIFF"))))</f>
        <v/>
      </c>
      <c r="J28" s="18"/>
    </row>
    <row r="29" customFormat="false" ht="15" hidden="false" customHeight="false" outlineLevel="0" collapsed="false">
      <c r="A29" s="17"/>
      <c r="B29" s="18"/>
      <c r="C29" s="24" t="str">
        <f aca="false">IF($B29="","",IFERROR(INDEX('INVENTORY MASTER'!$K$4:$K$63,MATCH($B29,'INVENTORY MASTER'!$A$4:$A$63,0)),""))</f>
        <v/>
      </c>
      <c r="D29" s="24" t="str">
        <f aca="false">IF($B29="","",IFERROR(INDEX('INVENTORY MASTER'!$AR$4:$AR$63,MATCH($B29,'INVENTORY MASTER'!$A$4:$A$63,0)),""))</f>
        <v/>
      </c>
      <c r="E29" s="24" t="str">
        <f aca="false">IF($B29="","",IFERROR(INDEX('INVENTORY MASTER'!$AS$4:$AS$63,MATCH($B29,'INVENTORY MASTER'!$A$4:$A$63,0)),""))</f>
        <v/>
      </c>
      <c r="F29" s="18"/>
      <c r="G29" s="18"/>
      <c r="H29" s="18"/>
      <c r="I29" s="24" t="str">
        <f aca="false">IF($B29="","",IF($F29="No","MISSING",IF($G29="","",IF($G29=$D29,"OK","LOCATION DIFF"))))</f>
        <v/>
      </c>
      <c r="J29" s="18"/>
    </row>
    <row r="30" customFormat="false" ht="15" hidden="false" customHeight="false" outlineLevel="0" collapsed="false">
      <c r="A30" s="17"/>
      <c r="B30" s="18"/>
      <c r="C30" s="24" t="str">
        <f aca="false">IF($B30="","",IFERROR(INDEX('INVENTORY MASTER'!$K$4:$K$63,MATCH($B30,'INVENTORY MASTER'!$A$4:$A$63,0)),""))</f>
        <v/>
      </c>
      <c r="D30" s="24" t="str">
        <f aca="false">IF($B30="","",IFERROR(INDEX('INVENTORY MASTER'!$AR$4:$AR$63,MATCH($B30,'INVENTORY MASTER'!$A$4:$A$63,0)),""))</f>
        <v/>
      </c>
      <c r="E30" s="24" t="str">
        <f aca="false">IF($B30="","",IFERROR(INDEX('INVENTORY MASTER'!$AS$4:$AS$63,MATCH($B30,'INVENTORY MASTER'!$A$4:$A$63,0)),""))</f>
        <v/>
      </c>
      <c r="F30" s="18"/>
      <c r="G30" s="18"/>
      <c r="H30" s="18"/>
      <c r="I30" s="24" t="str">
        <f aca="false">IF($B30="","",IF($F30="No","MISSING",IF($G30="","",IF($G30=$D30,"OK","LOCATION DIFF"))))</f>
        <v/>
      </c>
      <c r="J30" s="18"/>
    </row>
    <row r="31" customFormat="false" ht="15" hidden="false" customHeight="false" outlineLevel="0" collapsed="false">
      <c r="A31" s="17"/>
      <c r="B31" s="18"/>
      <c r="C31" s="24" t="str">
        <f aca="false">IF($B31="","",IFERROR(INDEX('INVENTORY MASTER'!$K$4:$K$63,MATCH($B31,'INVENTORY MASTER'!$A$4:$A$63,0)),""))</f>
        <v/>
      </c>
      <c r="D31" s="24" t="str">
        <f aca="false">IF($B31="","",IFERROR(INDEX('INVENTORY MASTER'!$AR$4:$AR$63,MATCH($B31,'INVENTORY MASTER'!$A$4:$A$63,0)),""))</f>
        <v/>
      </c>
      <c r="E31" s="24" t="str">
        <f aca="false">IF($B31="","",IFERROR(INDEX('INVENTORY MASTER'!$AS$4:$AS$63,MATCH($B31,'INVENTORY MASTER'!$A$4:$A$63,0)),""))</f>
        <v/>
      </c>
      <c r="F31" s="18"/>
      <c r="G31" s="18"/>
      <c r="H31" s="18"/>
      <c r="I31" s="24" t="str">
        <f aca="false">IF($B31="","",IF($F31="No","MISSING",IF($G31="","",IF($G31=$D31,"OK","LOCATION DIFF"))))</f>
        <v/>
      </c>
      <c r="J31" s="18"/>
    </row>
    <row r="32" customFormat="false" ht="15" hidden="false" customHeight="false" outlineLevel="0" collapsed="false">
      <c r="A32" s="17"/>
      <c r="B32" s="18"/>
      <c r="C32" s="24" t="str">
        <f aca="false">IF($B32="","",IFERROR(INDEX('INVENTORY MASTER'!$K$4:$K$63,MATCH($B32,'INVENTORY MASTER'!$A$4:$A$63,0)),""))</f>
        <v/>
      </c>
      <c r="D32" s="24" t="str">
        <f aca="false">IF($B32="","",IFERROR(INDEX('INVENTORY MASTER'!$AR$4:$AR$63,MATCH($B32,'INVENTORY MASTER'!$A$4:$A$63,0)),""))</f>
        <v/>
      </c>
      <c r="E32" s="24" t="str">
        <f aca="false">IF($B32="","",IFERROR(INDEX('INVENTORY MASTER'!$AS$4:$AS$63,MATCH($B32,'INVENTORY MASTER'!$A$4:$A$63,0)),""))</f>
        <v/>
      </c>
      <c r="F32" s="18"/>
      <c r="G32" s="18"/>
      <c r="H32" s="18"/>
      <c r="I32" s="24" t="str">
        <f aca="false">IF($B32="","",IF($F32="No","MISSING",IF($G32="","",IF($G32=$D32,"OK","LOCATION DIFF"))))</f>
        <v/>
      </c>
      <c r="J32" s="18"/>
    </row>
    <row r="33" customFormat="false" ht="15" hidden="false" customHeight="false" outlineLevel="0" collapsed="false">
      <c r="A33" s="17"/>
      <c r="B33" s="18"/>
      <c r="C33" s="24" t="str">
        <f aca="false">IF($B33="","",IFERROR(INDEX('INVENTORY MASTER'!$K$4:$K$63,MATCH($B33,'INVENTORY MASTER'!$A$4:$A$63,0)),""))</f>
        <v/>
      </c>
      <c r="D33" s="24" t="str">
        <f aca="false">IF($B33="","",IFERROR(INDEX('INVENTORY MASTER'!$AR$4:$AR$63,MATCH($B33,'INVENTORY MASTER'!$A$4:$A$63,0)),""))</f>
        <v/>
      </c>
      <c r="E33" s="24" t="str">
        <f aca="false">IF($B33="","",IFERROR(INDEX('INVENTORY MASTER'!$AS$4:$AS$63,MATCH($B33,'INVENTORY MASTER'!$A$4:$A$63,0)),""))</f>
        <v/>
      </c>
      <c r="F33" s="18"/>
      <c r="G33" s="18"/>
      <c r="H33" s="18"/>
      <c r="I33" s="24" t="str">
        <f aca="false">IF($B33="","",IF($F33="No","MISSING",IF($G33="","",IF($G33=$D33,"OK","LOCATION DIFF"))))</f>
        <v/>
      </c>
      <c r="J33" s="18"/>
    </row>
    <row r="34" customFormat="false" ht="15" hidden="false" customHeight="false" outlineLevel="0" collapsed="false">
      <c r="A34" s="17"/>
      <c r="B34" s="18"/>
      <c r="C34" s="24" t="str">
        <f aca="false">IF($B34="","",IFERROR(INDEX('INVENTORY MASTER'!$K$4:$K$63,MATCH($B34,'INVENTORY MASTER'!$A$4:$A$63,0)),""))</f>
        <v/>
      </c>
      <c r="D34" s="24" t="str">
        <f aca="false">IF($B34="","",IFERROR(INDEX('INVENTORY MASTER'!$AR$4:$AR$63,MATCH($B34,'INVENTORY MASTER'!$A$4:$A$63,0)),""))</f>
        <v/>
      </c>
      <c r="E34" s="24" t="str">
        <f aca="false">IF($B34="","",IFERROR(INDEX('INVENTORY MASTER'!$AS$4:$AS$63,MATCH($B34,'INVENTORY MASTER'!$A$4:$A$63,0)),""))</f>
        <v/>
      </c>
      <c r="F34" s="18"/>
      <c r="G34" s="18"/>
      <c r="H34" s="18"/>
      <c r="I34" s="24" t="str">
        <f aca="false">IF($B34="","",IF($F34="No","MISSING",IF($G34="","",IF($G34=$D34,"OK","LOCATION DIFF"))))</f>
        <v/>
      </c>
      <c r="J34" s="18"/>
    </row>
    <row r="35" customFormat="false" ht="15" hidden="false" customHeight="false" outlineLevel="0" collapsed="false">
      <c r="A35" s="17"/>
      <c r="B35" s="18"/>
      <c r="C35" s="24" t="str">
        <f aca="false">IF($B35="","",IFERROR(INDEX('INVENTORY MASTER'!$K$4:$K$63,MATCH($B35,'INVENTORY MASTER'!$A$4:$A$63,0)),""))</f>
        <v/>
      </c>
      <c r="D35" s="24" t="str">
        <f aca="false">IF($B35="","",IFERROR(INDEX('INVENTORY MASTER'!$AR$4:$AR$63,MATCH($B35,'INVENTORY MASTER'!$A$4:$A$63,0)),""))</f>
        <v/>
      </c>
      <c r="E35" s="24" t="str">
        <f aca="false">IF($B35="","",IFERROR(INDEX('INVENTORY MASTER'!$AS$4:$AS$63,MATCH($B35,'INVENTORY MASTER'!$A$4:$A$63,0)),""))</f>
        <v/>
      </c>
      <c r="F35" s="18"/>
      <c r="G35" s="18"/>
      <c r="H35" s="18"/>
      <c r="I35" s="24" t="str">
        <f aca="false">IF($B35="","",IF($F35="No","MISSING",IF($G35="","",IF($G35=$D35,"OK","LOCATION DIFF"))))</f>
        <v/>
      </c>
      <c r="J35" s="18"/>
    </row>
    <row r="36" customFormat="false" ht="15" hidden="false" customHeight="false" outlineLevel="0" collapsed="false">
      <c r="A36" s="17"/>
      <c r="B36" s="18"/>
      <c r="C36" s="24" t="str">
        <f aca="false">IF($B36="","",IFERROR(INDEX('INVENTORY MASTER'!$K$4:$K$63,MATCH($B36,'INVENTORY MASTER'!$A$4:$A$63,0)),""))</f>
        <v/>
      </c>
      <c r="D36" s="24" t="str">
        <f aca="false">IF($B36="","",IFERROR(INDEX('INVENTORY MASTER'!$AR$4:$AR$63,MATCH($B36,'INVENTORY MASTER'!$A$4:$A$63,0)),""))</f>
        <v/>
      </c>
      <c r="E36" s="24" t="str">
        <f aca="false">IF($B36="","",IFERROR(INDEX('INVENTORY MASTER'!$AS$4:$AS$63,MATCH($B36,'INVENTORY MASTER'!$A$4:$A$63,0)),""))</f>
        <v/>
      </c>
      <c r="F36" s="18"/>
      <c r="G36" s="18"/>
      <c r="H36" s="18"/>
      <c r="I36" s="24" t="str">
        <f aca="false">IF($B36="","",IF($F36="No","MISSING",IF($G36="","",IF($G36=$D36,"OK","LOCATION DIFF"))))</f>
        <v/>
      </c>
      <c r="J36" s="18"/>
    </row>
    <row r="37" customFormat="false" ht="15" hidden="false" customHeight="false" outlineLevel="0" collapsed="false">
      <c r="A37" s="17"/>
      <c r="B37" s="18"/>
      <c r="C37" s="24" t="str">
        <f aca="false">IF($B37="","",IFERROR(INDEX('INVENTORY MASTER'!$K$4:$K$63,MATCH($B37,'INVENTORY MASTER'!$A$4:$A$63,0)),""))</f>
        <v/>
      </c>
      <c r="D37" s="24" t="str">
        <f aca="false">IF($B37="","",IFERROR(INDEX('INVENTORY MASTER'!$AR$4:$AR$63,MATCH($B37,'INVENTORY MASTER'!$A$4:$A$63,0)),""))</f>
        <v/>
      </c>
      <c r="E37" s="24" t="str">
        <f aca="false">IF($B37="","",IFERROR(INDEX('INVENTORY MASTER'!$AS$4:$AS$63,MATCH($B37,'INVENTORY MASTER'!$A$4:$A$63,0)),""))</f>
        <v/>
      </c>
      <c r="F37" s="18"/>
      <c r="G37" s="18"/>
      <c r="H37" s="18"/>
      <c r="I37" s="24" t="str">
        <f aca="false">IF($B37="","",IF($F37="No","MISSING",IF($G37="","",IF($G37=$D37,"OK","LOCATION DIFF"))))</f>
        <v/>
      </c>
      <c r="J37" s="18"/>
    </row>
    <row r="38" customFormat="false" ht="15" hidden="false" customHeight="false" outlineLevel="0" collapsed="false">
      <c r="A38" s="17"/>
      <c r="B38" s="18"/>
      <c r="C38" s="24" t="str">
        <f aca="false">IF($B38="","",IFERROR(INDEX('INVENTORY MASTER'!$K$4:$K$63,MATCH($B38,'INVENTORY MASTER'!$A$4:$A$63,0)),""))</f>
        <v/>
      </c>
      <c r="D38" s="24" t="str">
        <f aca="false">IF($B38="","",IFERROR(INDEX('INVENTORY MASTER'!$AR$4:$AR$63,MATCH($B38,'INVENTORY MASTER'!$A$4:$A$63,0)),""))</f>
        <v/>
      </c>
      <c r="E38" s="24" t="str">
        <f aca="false">IF($B38="","",IFERROR(INDEX('INVENTORY MASTER'!$AS$4:$AS$63,MATCH($B38,'INVENTORY MASTER'!$A$4:$A$63,0)),""))</f>
        <v/>
      </c>
      <c r="F38" s="18"/>
      <c r="G38" s="18"/>
      <c r="H38" s="18"/>
      <c r="I38" s="24" t="str">
        <f aca="false">IF($B38="","",IF($F38="No","MISSING",IF($G38="","",IF($G38=$D38,"OK","LOCATION DIFF"))))</f>
        <v/>
      </c>
      <c r="J38" s="18"/>
    </row>
    <row r="39" customFormat="false" ht="15" hidden="false" customHeight="false" outlineLevel="0" collapsed="false">
      <c r="A39" s="17"/>
      <c r="B39" s="18"/>
      <c r="C39" s="24" t="str">
        <f aca="false">IF($B39="","",IFERROR(INDEX('INVENTORY MASTER'!$K$4:$K$63,MATCH($B39,'INVENTORY MASTER'!$A$4:$A$63,0)),""))</f>
        <v/>
      </c>
      <c r="D39" s="24" t="str">
        <f aca="false">IF($B39="","",IFERROR(INDEX('INVENTORY MASTER'!$AR$4:$AR$63,MATCH($B39,'INVENTORY MASTER'!$A$4:$A$63,0)),""))</f>
        <v/>
      </c>
      <c r="E39" s="24" t="str">
        <f aca="false">IF($B39="","",IFERROR(INDEX('INVENTORY MASTER'!$AS$4:$AS$63,MATCH($B39,'INVENTORY MASTER'!$A$4:$A$63,0)),""))</f>
        <v/>
      </c>
      <c r="F39" s="18"/>
      <c r="G39" s="18"/>
      <c r="H39" s="18"/>
      <c r="I39" s="24" t="str">
        <f aca="false">IF($B39="","",IF($F39="No","MISSING",IF($G39="","",IF($G39=$D39,"OK","LOCATION DIFF"))))</f>
        <v/>
      </c>
      <c r="J39" s="18"/>
    </row>
    <row r="40" customFormat="false" ht="15" hidden="false" customHeight="false" outlineLevel="0" collapsed="false">
      <c r="A40" s="17"/>
      <c r="B40" s="18"/>
      <c r="C40" s="24" t="str">
        <f aca="false">IF($B40="","",IFERROR(INDEX('INVENTORY MASTER'!$K$4:$K$63,MATCH($B40,'INVENTORY MASTER'!$A$4:$A$63,0)),""))</f>
        <v/>
      </c>
      <c r="D40" s="24" t="str">
        <f aca="false">IF($B40="","",IFERROR(INDEX('INVENTORY MASTER'!$AR$4:$AR$63,MATCH($B40,'INVENTORY MASTER'!$A$4:$A$63,0)),""))</f>
        <v/>
      </c>
      <c r="E40" s="24" t="str">
        <f aca="false">IF($B40="","",IFERROR(INDEX('INVENTORY MASTER'!$AS$4:$AS$63,MATCH($B40,'INVENTORY MASTER'!$A$4:$A$63,0)),""))</f>
        <v/>
      </c>
      <c r="F40" s="18"/>
      <c r="G40" s="18"/>
      <c r="H40" s="18"/>
      <c r="I40" s="24" t="str">
        <f aca="false">IF($B40="","",IF($F40="No","MISSING",IF($G40="","",IF($G40=$D40,"OK","LOCATION DIFF"))))</f>
        <v/>
      </c>
      <c r="J40" s="18"/>
    </row>
    <row r="41" customFormat="false" ht="15" hidden="false" customHeight="false" outlineLevel="0" collapsed="false">
      <c r="A41" s="17"/>
      <c r="B41" s="18"/>
      <c r="C41" s="24" t="str">
        <f aca="false">IF($B41="","",IFERROR(INDEX('INVENTORY MASTER'!$K$4:$K$63,MATCH($B41,'INVENTORY MASTER'!$A$4:$A$63,0)),""))</f>
        <v/>
      </c>
      <c r="D41" s="24" t="str">
        <f aca="false">IF($B41="","",IFERROR(INDEX('INVENTORY MASTER'!$AR$4:$AR$63,MATCH($B41,'INVENTORY MASTER'!$A$4:$A$63,0)),""))</f>
        <v/>
      </c>
      <c r="E41" s="24" t="str">
        <f aca="false">IF($B41="","",IFERROR(INDEX('INVENTORY MASTER'!$AS$4:$AS$63,MATCH($B41,'INVENTORY MASTER'!$A$4:$A$63,0)),""))</f>
        <v/>
      </c>
      <c r="F41" s="18"/>
      <c r="G41" s="18"/>
      <c r="H41" s="18"/>
      <c r="I41" s="24" t="str">
        <f aca="false">IF($B41="","",IF($F41="No","MISSING",IF($G41="","",IF($G41=$D41,"OK","LOCATION DIFF"))))</f>
        <v/>
      </c>
      <c r="J41" s="18"/>
    </row>
    <row r="42" customFormat="false" ht="15" hidden="false" customHeight="false" outlineLevel="0" collapsed="false">
      <c r="A42" s="17"/>
      <c r="B42" s="18"/>
      <c r="C42" s="24" t="str">
        <f aca="false">IF($B42="","",IFERROR(INDEX('INVENTORY MASTER'!$K$4:$K$63,MATCH($B42,'INVENTORY MASTER'!$A$4:$A$63,0)),""))</f>
        <v/>
      </c>
      <c r="D42" s="24" t="str">
        <f aca="false">IF($B42="","",IFERROR(INDEX('INVENTORY MASTER'!$AR$4:$AR$63,MATCH($B42,'INVENTORY MASTER'!$A$4:$A$63,0)),""))</f>
        <v/>
      </c>
      <c r="E42" s="24" t="str">
        <f aca="false">IF($B42="","",IFERROR(INDEX('INVENTORY MASTER'!$AS$4:$AS$63,MATCH($B42,'INVENTORY MASTER'!$A$4:$A$63,0)),""))</f>
        <v/>
      </c>
      <c r="F42" s="18"/>
      <c r="G42" s="18"/>
      <c r="H42" s="18"/>
      <c r="I42" s="24" t="str">
        <f aca="false">IF($B42="","",IF($F42="No","MISSING",IF($G42="","",IF($G42=$D42,"OK","LOCATION DIFF"))))</f>
        <v/>
      </c>
      <c r="J42" s="18"/>
    </row>
    <row r="43" customFormat="false" ht="15" hidden="false" customHeight="false" outlineLevel="0" collapsed="false">
      <c r="A43" s="17"/>
      <c r="B43" s="18"/>
      <c r="C43" s="24" t="str">
        <f aca="false">IF($B43="","",IFERROR(INDEX('INVENTORY MASTER'!$K$4:$K$63,MATCH($B43,'INVENTORY MASTER'!$A$4:$A$63,0)),""))</f>
        <v/>
      </c>
      <c r="D43" s="24" t="str">
        <f aca="false">IF($B43="","",IFERROR(INDEX('INVENTORY MASTER'!$AR$4:$AR$63,MATCH($B43,'INVENTORY MASTER'!$A$4:$A$63,0)),""))</f>
        <v/>
      </c>
      <c r="E43" s="24" t="str">
        <f aca="false">IF($B43="","",IFERROR(INDEX('INVENTORY MASTER'!$AS$4:$AS$63,MATCH($B43,'INVENTORY MASTER'!$A$4:$A$63,0)),""))</f>
        <v/>
      </c>
      <c r="F43" s="18"/>
      <c r="G43" s="18"/>
      <c r="H43" s="18"/>
      <c r="I43" s="24" t="str">
        <f aca="false">IF($B43="","",IF($F43="No","MISSING",IF($G43="","",IF($G43=$D43,"OK","LOCATION DIFF"))))</f>
        <v/>
      </c>
      <c r="J43" s="18"/>
    </row>
    <row r="44" customFormat="false" ht="15" hidden="false" customHeight="false" outlineLevel="0" collapsed="false">
      <c r="A44" s="17"/>
      <c r="B44" s="18"/>
      <c r="C44" s="24" t="str">
        <f aca="false">IF($B44="","",IFERROR(INDEX('INVENTORY MASTER'!$K$4:$K$63,MATCH($B44,'INVENTORY MASTER'!$A$4:$A$63,0)),""))</f>
        <v/>
      </c>
      <c r="D44" s="24" t="str">
        <f aca="false">IF($B44="","",IFERROR(INDEX('INVENTORY MASTER'!$AR$4:$AR$63,MATCH($B44,'INVENTORY MASTER'!$A$4:$A$63,0)),""))</f>
        <v/>
      </c>
      <c r="E44" s="24" t="str">
        <f aca="false">IF($B44="","",IFERROR(INDEX('INVENTORY MASTER'!$AS$4:$AS$63,MATCH($B44,'INVENTORY MASTER'!$A$4:$A$63,0)),""))</f>
        <v/>
      </c>
      <c r="F44" s="18"/>
      <c r="G44" s="18"/>
      <c r="H44" s="18"/>
      <c r="I44" s="24" t="str">
        <f aca="false">IF($B44="","",IF($F44="No","MISSING",IF($G44="","",IF($G44=$D44,"OK","LOCATION DIFF"))))</f>
        <v/>
      </c>
      <c r="J44" s="18"/>
    </row>
    <row r="45" customFormat="false" ht="15" hidden="false" customHeight="false" outlineLevel="0" collapsed="false">
      <c r="A45" s="17"/>
      <c r="B45" s="18"/>
      <c r="C45" s="24" t="str">
        <f aca="false">IF($B45="","",IFERROR(INDEX('INVENTORY MASTER'!$K$4:$K$63,MATCH($B45,'INVENTORY MASTER'!$A$4:$A$63,0)),""))</f>
        <v/>
      </c>
      <c r="D45" s="24" t="str">
        <f aca="false">IF($B45="","",IFERROR(INDEX('INVENTORY MASTER'!$AR$4:$AR$63,MATCH($B45,'INVENTORY MASTER'!$A$4:$A$63,0)),""))</f>
        <v/>
      </c>
      <c r="E45" s="24" t="str">
        <f aca="false">IF($B45="","",IFERROR(INDEX('INVENTORY MASTER'!$AS$4:$AS$63,MATCH($B45,'INVENTORY MASTER'!$A$4:$A$63,0)),""))</f>
        <v/>
      </c>
      <c r="F45" s="18"/>
      <c r="G45" s="18"/>
      <c r="H45" s="18"/>
      <c r="I45" s="24" t="str">
        <f aca="false">IF($B45="","",IF($F45="No","MISSING",IF($G45="","",IF($G45=$D45,"OK","LOCATION DIFF"))))</f>
        <v/>
      </c>
      <c r="J45" s="18"/>
    </row>
    <row r="46" customFormat="false" ht="15" hidden="false" customHeight="false" outlineLevel="0" collapsed="false">
      <c r="A46" s="17"/>
      <c r="B46" s="18"/>
      <c r="C46" s="24" t="str">
        <f aca="false">IF($B46="","",IFERROR(INDEX('INVENTORY MASTER'!$K$4:$K$63,MATCH($B46,'INVENTORY MASTER'!$A$4:$A$63,0)),""))</f>
        <v/>
      </c>
      <c r="D46" s="24" t="str">
        <f aca="false">IF($B46="","",IFERROR(INDEX('INVENTORY MASTER'!$AR$4:$AR$63,MATCH($B46,'INVENTORY MASTER'!$A$4:$A$63,0)),""))</f>
        <v/>
      </c>
      <c r="E46" s="24" t="str">
        <f aca="false">IF($B46="","",IFERROR(INDEX('INVENTORY MASTER'!$AS$4:$AS$63,MATCH($B46,'INVENTORY MASTER'!$A$4:$A$63,0)),""))</f>
        <v/>
      </c>
      <c r="F46" s="18"/>
      <c r="G46" s="18"/>
      <c r="H46" s="18"/>
      <c r="I46" s="24" t="str">
        <f aca="false">IF($B46="","",IF($F46="No","MISSING",IF($G46="","",IF($G46=$D46,"OK","LOCATION DIFF"))))</f>
        <v/>
      </c>
      <c r="J46" s="18"/>
    </row>
    <row r="47" customFormat="false" ht="15" hidden="false" customHeight="false" outlineLevel="0" collapsed="false">
      <c r="A47" s="17"/>
      <c r="B47" s="18"/>
      <c r="C47" s="24" t="str">
        <f aca="false">IF($B47="","",IFERROR(INDEX('INVENTORY MASTER'!$K$4:$K$63,MATCH($B47,'INVENTORY MASTER'!$A$4:$A$63,0)),""))</f>
        <v/>
      </c>
      <c r="D47" s="24" t="str">
        <f aca="false">IF($B47="","",IFERROR(INDEX('INVENTORY MASTER'!$AR$4:$AR$63,MATCH($B47,'INVENTORY MASTER'!$A$4:$A$63,0)),""))</f>
        <v/>
      </c>
      <c r="E47" s="24" t="str">
        <f aca="false">IF($B47="","",IFERROR(INDEX('INVENTORY MASTER'!$AS$4:$AS$63,MATCH($B47,'INVENTORY MASTER'!$A$4:$A$63,0)),""))</f>
        <v/>
      </c>
      <c r="F47" s="18"/>
      <c r="G47" s="18"/>
      <c r="H47" s="18"/>
      <c r="I47" s="24" t="str">
        <f aca="false">IF($B47="","",IF($F47="No","MISSING",IF($G47="","",IF($G47=$D47,"OK","LOCATION DIFF"))))</f>
        <v/>
      </c>
      <c r="J47" s="18"/>
    </row>
    <row r="48" customFormat="false" ht="15" hidden="false" customHeight="false" outlineLevel="0" collapsed="false">
      <c r="A48" s="17"/>
      <c r="B48" s="18"/>
      <c r="C48" s="24" t="str">
        <f aca="false">IF($B48="","",IFERROR(INDEX('INVENTORY MASTER'!$K$4:$K$63,MATCH($B48,'INVENTORY MASTER'!$A$4:$A$63,0)),""))</f>
        <v/>
      </c>
      <c r="D48" s="24" t="str">
        <f aca="false">IF($B48="","",IFERROR(INDEX('INVENTORY MASTER'!$AR$4:$AR$63,MATCH($B48,'INVENTORY MASTER'!$A$4:$A$63,0)),""))</f>
        <v/>
      </c>
      <c r="E48" s="24" t="str">
        <f aca="false">IF($B48="","",IFERROR(INDEX('INVENTORY MASTER'!$AS$4:$AS$63,MATCH($B48,'INVENTORY MASTER'!$A$4:$A$63,0)),""))</f>
        <v/>
      </c>
      <c r="F48" s="18"/>
      <c r="G48" s="18"/>
      <c r="H48" s="18"/>
      <c r="I48" s="24" t="str">
        <f aca="false">IF($B48="","",IF($F48="No","MISSING",IF($G48="","",IF($G48=$D48,"OK","LOCATION DIFF"))))</f>
        <v/>
      </c>
      <c r="J48" s="18"/>
    </row>
    <row r="49" customFormat="false" ht="15" hidden="false" customHeight="false" outlineLevel="0" collapsed="false">
      <c r="A49" s="17"/>
      <c r="B49" s="18"/>
      <c r="C49" s="24" t="str">
        <f aca="false">IF($B49="","",IFERROR(INDEX('INVENTORY MASTER'!$K$4:$K$63,MATCH($B49,'INVENTORY MASTER'!$A$4:$A$63,0)),""))</f>
        <v/>
      </c>
      <c r="D49" s="24" t="str">
        <f aca="false">IF($B49="","",IFERROR(INDEX('INVENTORY MASTER'!$AR$4:$AR$63,MATCH($B49,'INVENTORY MASTER'!$A$4:$A$63,0)),""))</f>
        <v/>
      </c>
      <c r="E49" s="24" t="str">
        <f aca="false">IF($B49="","",IFERROR(INDEX('INVENTORY MASTER'!$AS$4:$AS$63,MATCH($B49,'INVENTORY MASTER'!$A$4:$A$63,0)),""))</f>
        <v/>
      </c>
      <c r="F49" s="18"/>
      <c r="G49" s="18"/>
      <c r="H49" s="18"/>
      <c r="I49" s="24" t="str">
        <f aca="false">IF($B49="","",IF($F49="No","MISSING",IF($G49="","",IF($G49=$D49,"OK","LOCATION DIFF"))))</f>
        <v/>
      </c>
      <c r="J49" s="18"/>
    </row>
    <row r="50" customFormat="false" ht="15" hidden="false" customHeight="false" outlineLevel="0" collapsed="false">
      <c r="A50" s="17"/>
      <c r="B50" s="18"/>
      <c r="C50" s="24" t="str">
        <f aca="false">IF($B50="","",IFERROR(INDEX('INVENTORY MASTER'!$K$4:$K$63,MATCH($B50,'INVENTORY MASTER'!$A$4:$A$63,0)),""))</f>
        <v/>
      </c>
      <c r="D50" s="24" t="str">
        <f aca="false">IF($B50="","",IFERROR(INDEX('INVENTORY MASTER'!$AR$4:$AR$63,MATCH($B50,'INVENTORY MASTER'!$A$4:$A$63,0)),""))</f>
        <v/>
      </c>
      <c r="E50" s="24" t="str">
        <f aca="false">IF($B50="","",IFERROR(INDEX('INVENTORY MASTER'!$AS$4:$AS$63,MATCH($B50,'INVENTORY MASTER'!$A$4:$A$63,0)),""))</f>
        <v/>
      </c>
      <c r="F50" s="18"/>
      <c r="G50" s="18"/>
      <c r="H50" s="18"/>
      <c r="I50" s="24" t="str">
        <f aca="false">IF($B50="","",IF($F50="No","MISSING",IF($G50="","",IF($G50=$D50,"OK","LOCATION DIFF"))))</f>
        <v/>
      </c>
      <c r="J50" s="18"/>
    </row>
    <row r="51" customFormat="false" ht="15" hidden="false" customHeight="false" outlineLevel="0" collapsed="false">
      <c r="A51" s="17"/>
      <c r="B51" s="18"/>
      <c r="C51" s="24" t="str">
        <f aca="false">IF($B51="","",IFERROR(INDEX('INVENTORY MASTER'!$K$4:$K$63,MATCH($B51,'INVENTORY MASTER'!$A$4:$A$63,0)),""))</f>
        <v/>
      </c>
      <c r="D51" s="24" t="str">
        <f aca="false">IF($B51="","",IFERROR(INDEX('INVENTORY MASTER'!$AR$4:$AR$63,MATCH($B51,'INVENTORY MASTER'!$A$4:$A$63,0)),""))</f>
        <v/>
      </c>
      <c r="E51" s="24" t="str">
        <f aca="false">IF($B51="","",IFERROR(INDEX('INVENTORY MASTER'!$AS$4:$AS$63,MATCH($B51,'INVENTORY MASTER'!$A$4:$A$63,0)),""))</f>
        <v/>
      </c>
      <c r="F51" s="18"/>
      <c r="G51" s="18"/>
      <c r="H51" s="18"/>
      <c r="I51" s="24" t="str">
        <f aca="false">IF($B51="","",IF($F51="No","MISSING",IF($G51="","",IF($G51=$D51,"OK","LOCATION DIFF"))))</f>
        <v/>
      </c>
      <c r="J51" s="18"/>
    </row>
    <row r="52" customFormat="false" ht="15" hidden="false" customHeight="false" outlineLevel="0" collapsed="false">
      <c r="A52" s="17"/>
      <c r="B52" s="18"/>
      <c r="C52" s="24" t="str">
        <f aca="false">IF($B52="","",IFERROR(INDEX('INVENTORY MASTER'!$K$4:$K$63,MATCH($B52,'INVENTORY MASTER'!$A$4:$A$63,0)),""))</f>
        <v/>
      </c>
      <c r="D52" s="24" t="str">
        <f aca="false">IF($B52="","",IFERROR(INDEX('INVENTORY MASTER'!$AR$4:$AR$63,MATCH($B52,'INVENTORY MASTER'!$A$4:$A$63,0)),""))</f>
        <v/>
      </c>
      <c r="E52" s="24" t="str">
        <f aca="false">IF($B52="","",IFERROR(INDEX('INVENTORY MASTER'!$AS$4:$AS$63,MATCH($B52,'INVENTORY MASTER'!$A$4:$A$63,0)),""))</f>
        <v/>
      </c>
      <c r="F52" s="18"/>
      <c r="G52" s="18"/>
      <c r="H52" s="18"/>
      <c r="I52" s="24" t="str">
        <f aca="false">IF($B52="","",IF($F52="No","MISSING",IF($G52="","",IF($G52=$D52,"OK","LOCATION DIFF"))))</f>
        <v/>
      </c>
      <c r="J52" s="18"/>
    </row>
    <row r="53" customFormat="false" ht="15" hidden="false" customHeight="false" outlineLevel="0" collapsed="false">
      <c r="A53" s="17"/>
      <c r="B53" s="18"/>
      <c r="C53" s="24" t="str">
        <f aca="false">IF($B53="","",IFERROR(INDEX('INVENTORY MASTER'!$K$4:$K$63,MATCH($B53,'INVENTORY MASTER'!$A$4:$A$63,0)),""))</f>
        <v/>
      </c>
      <c r="D53" s="24" t="str">
        <f aca="false">IF($B53="","",IFERROR(INDEX('INVENTORY MASTER'!$AR$4:$AR$63,MATCH($B53,'INVENTORY MASTER'!$A$4:$A$63,0)),""))</f>
        <v/>
      </c>
      <c r="E53" s="24" t="str">
        <f aca="false">IF($B53="","",IFERROR(INDEX('INVENTORY MASTER'!$AS$4:$AS$63,MATCH($B53,'INVENTORY MASTER'!$A$4:$A$63,0)),""))</f>
        <v/>
      </c>
      <c r="F53" s="18"/>
      <c r="G53" s="18"/>
      <c r="H53" s="18"/>
      <c r="I53" s="24" t="str">
        <f aca="false">IF($B53="","",IF($F53="No","MISSING",IF($G53="","",IF($G53=$D53,"OK","LOCATION DIFF"))))</f>
        <v/>
      </c>
      <c r="J53" s="18"/>
    </row>
    <row r="54" customFormat="false" ht="15" hidden="false" customHeight="false" outlineLevel="0" collapsed="false">
      <c r="A54" s="17"/>
      <c r="B54" s="18"/>
      <c r="C54" s="24" t="str">
        <f aca="false">IF($B54="","",IFERROR(INDEX('INVENTORY MASTER'!$K$4:$K$63,MATCH($B54,'INVENTORY MASTER'!$A$4:$A$63,0)),""))</f>
        <v/>
      </c>
      <c r="D54" s="24" t="str">
        <f aca="false">IF($B54="","",IFERROR(INDEX('INVENTORY MASTER'!$AR$4:$AR$63,MATCH($B54,'INVENTORY MASTER'!$A$4:$A$63,0)),""))</f>
        <v/>
      </c>
      <c r="E54" s="24" t="str">
        <f aca="false">IF($B54="","",IFERROR(INDEX('INVENTORY MASTER'!$AS$4:$AS$63,MATCH($B54,'INVENTORY MASTER'!$A$4:$A$63,0)),""))</f>
        <v/>
      </c>
      <c r="F54" s="18"/>
      <c r="G54" s="18"/>
      <c r="H54" s="18"/>
      <c r="I54" s="24" t="str">
        <f aca="false">IF($B54="","",IF($F54="No","MISSING",IF($G54="","",IF($G54=$D54,"OK","LOCATION DIFF"))))</f>
        <v/>
      </c>
      <c r="J54" s="18"/>
    </row>
    <row r="55" customFormat="false" ht="15" hidden="false" customHeight="false" outlineLevel="0" collapsed="false">
      <c r="A55" s="17"/>
      <c r="B55" s="18"/>
      <c r="C55" s="24" t="str">
        <f aca="false">IF($B55="","",IFERROR(INDEX('INVENTORY MASTER'!$K$4:$K$63,MATCH($B55,'INVENTORY MASTER'!$A$4:$A$63,0)),""))</f>
        <v/>
      </c>
      <c r="D55" s="24" t="str">
        <f aca="false">IF($B55="","",IFERROR(INDEX('INVENTORY MASTER'!$AR$4:$AR$63,MATCH($B55,'INVENTORY MASTER'!$A$4:$A$63,0)),""))</f>
        <v/>
      </c>
      <c r="E55" s="24" t="str">
        <f aca="false">IF($B55="","",IFERROR(INDEX('INVENTORY MASTER'!$AS$4:$AS$63,MATCH($B55,'INVENTORY MASTER'!$A$4:$A$63,0)),""))</f>
        <v/>
      </c>
      <c r="F55" s="18"/>
      <c r="G55" s="18"/>
      <c r="H55" s="18"/>
      <c r="I55" s="24" t="str">
        <f aca="false">IF($B55="","",IF($F55="No","MISSING",IF($G55="","",IF($G55=$D55,"OK","LOCATION DIFF"))))</f>
        <v/>
      </c>
      <c r="J55" s="18"/>
    </row>
    <row r="56" customFormat="false" ht="15" hidden="false" customHeight="false" outlineLevel="0" collapsed="false">
      <c r="A56" s="17"/>
      <c r="B56" s="18"/>
      <c r="C56" s="24" t="str">
        <f aca="false">IF($B56="","",IFERROR(INDEX('INVENTORY MASTER'!$K$4:$K$63,MATCH($B56,'INVENTORY MASTER'!$A$4:$A$63,0)),""))</f>
        <v/>
      </c>
      <c r="D56" s="24" t="str">
        <f aca="false">IF($B56="","",IFERROR(INDEX('INVENTORY MASTER'!$AR$4:$AR$63,MATCH($B56,'INVENTORY MASTER'!$A$4:$A$63,0)),""))</f>
        <v/>
      </c>
      <c r="E56" s="24" t="str">
        <f aca="false">IF($B56="","",IFERROR(INDEX('INVENTORY MASTER'!$AS$4:$AS$63,MATCH($B56,'INVENTORY MASTER'!$A$4:$A$63,0)),""))</f>
        <v/>
      </c>
      <c r="F56" s="18"/>
      <c r="G56" s="18"/>
      <c r="H56" s="18"/>
      <c r="I56" s="24" t="str">
        <f aca="false">IF($B56="","",IF($F56="No","MISSING",IF($G56="","",IF($G56=$D56,"OK","LOCATION DIFF"))))</f>
        <v/>
      </c>
      <c r="J56" s="18"/>
    </row>
    <row r="57" customFormat="false" ht="15" hidden="false" customHeight="false" outlineLevel="0" collapsed="false">
      <c r="A57" s="17"/>
      <c r="B57" s="18"/>
      <c r="C57" s="24" t="str">
        <f aca="false">IF($B57="","",IFERROR(INDEX('INVENTORY MASTER'!$K$4:$K$63,MATCH($B57,'INVENTORY MASTER'!$A$4:$A$63,0)),""))</f>
        <v/>
      </c>
      <c r="D57" s="24" t="str">
        <f aca="false">IF($B57="","",IFERROR(INDEX('INVENTORY MASTER'!$AR$4:$AR$63,MATCH($B57,'INVENTORY MASTER'!$A$4:$A$63,0)),""))</f>
        <v/>
      </c>
      <c r="E57" s="24" t="str">
        <f aca="false">IF($B57="","",IFERROR(INDEX('INVENTORY MASTER'!$AS$4:$AS$63,MATCH($B57,'INVENTORY MASTER'!$A$4:$A$63,0)),""))</f>
        <v/>
      </c>
      <c r="F57" s="18"/>
      <c r="G57" s="18"/>
      <c r="H57" s="18"/>
      <c r="I57" s="24" t="str">
        <f aca="false">IF($B57="","",IF($F57="No","MISSING",IF($G57="","",IF($G57=$D57,"OK","LOCATION DIFF"))))</f>
        <v/>
      </c>
      <c r="J57" s="18"/>
    </row>
    <row r="58" customFormat="false" ht="15" hidden="false" customHeight="false" outlineLevel="0" collapsed="false">
      <c r="A58" s="17"/>
      <c r="B58" s="18"/>
      <c r="C58" s="24" t="str">
        <f aca="false">IF($B58="","",IFERROR(INDEX('INVENTORY MASTER'!$K$4:$K$63,MATCH($B58,'INVENTORY MASTER'!$A$4:$A$63,0)),""))</f>
        <v/>
      </c>
      <c r="D58" s="24" t="str">
        <f aca="false">IF($B58="","",IFERROR(INDEX('INVENTORY MASTER'!$AR$4:$AR$63,MATCH($B58,'INVENTORY MASTER'!$A$4:$A$63,0)),""))</f>
        <v/>
      </c>
      <c r="E58" s="24" t="str">
        <f aca="false">IF($B58="","",IFERROR(INDEX('INVENTORY MASTER'!$AS$4:$AS$63,MATCH($B58,'INVENTORY MASTER'!$A$4:$A$63,0)),""))</f>
        <v/>
      </c>
      <c r="F58" s="18"/>
      <c r="G58" s="18"/>
      <c r="H58" s="18"/>
      <c r="I58" s="24" t="str">
        <f aca="false">IF($B58="","",IF($F58="No","MISSING",IF($G58="","",IF($G58=$D58,"OK","LOCATION DIFF"))))</f>
        <v/>
      </c>
      <c r="J58" s="18"/>
    </row>
    <row r="59" customFormat="false" ht="15" hidden="false" customHeight="false" outlineLevel="0" collapsed="false">
      <c r="A59" s="17"/>
      <c r="B59" s="18"/>
      <c r="C59" s="24" t="str">
        <f aca="false">IF($B59="","",IFERROR(INDEX('INVENTORY MASTER'!$K$4:$K$63,MATCH($B59,'INVENTORY MASTER'!$A$4:$A$63,0)),""))</f>
        <v/>
      </c>
      <c r="D59" s="24" t="str">
        <f aca="false">IF($B59="","",IFERROR(INDEX('INVENTORY MASTER'!$AR$4:$AR$63,MATCH($B59,'INVENTORY MASTER'!$A$4:$A$63,0)),""))</f>
        <v/>
      </c>
      <c r="E59" s="24" t="str">
        <f aca="false">IF($B59="","",IFERROR(INDEX('INVENTORY MASTER'!$AS$4:$AS$63,MATCH($B59,'INVENTORY MASTER'!$A$4:$A$63,0)),""))</f>
        <v/>
      </c>
      <c r="F59" s="18"/>
      <c r="G59" s="18"/>
      <c r="H59" s="18"/>
      <c r="I59" s="24" t="str">
        <f aca="false">IF($B59="","",IF($F59="No","MISSING",IF($G59="","",IF($G59=$D59,"OK","LOCATION DIFF"))))</f>
        <v/>
      </c>
      <c r="J59" s="18"/>
    </row>
    <row r="60" customFormat="false" ht="15" hidden="false" customHeight="false" outlineLevel="0" collapsed="false">
      <c r="A60" s="17"/>
      <c r="B60" s="18"/>
      <c r="C60" s="24" t="str">
        <f aca="false">IF($B60="","",IFERROR(INDEX('INVENTORY MASTER'!$K$4:$K$63,MATCH($B60,'INVENTORY MASTER'!$A$4:$A$63,0)),""))</f>
        <v/>
      </c>
      <c r="D60" s="24" t="str">
        <f aca="false">IF($B60="","",IFERROR(INDEX('INVENTORY MASTER'!$AR$4:$AR$63,MATCH($B60,'INVENTORY MASTER'!$A$4:$A$63,0)),""))</f>
        <v/>
      </c>
      <c r="E60" s="24" t="str">
        <f aca="false">IF($B60="","",IFERROR(INDEX('INVENTORY MASTER'!$AS$4:$AS$63,MATCH($B60,'INVENTORY MASTER'!$A$4:$A$63,0)),""))</f>
        <v/>
      </c>
      <c r="F60" s="18"/>
      <c r="G60" s="18"/>
      <c r="H60" s="18"/>
      <c r="I60" s="24" t="str">
        <f aca="false">IF($B60="","",IF($F60="No","MISSING",IF($G60="","",IF($G60=$D60,"OK","LOCATION DIFF"))))</f>
        <v/>
      </c>
      <c r="J60" s="18"/>
    </row>
    <row r="61" customFormat="false" ht="15" hidden="false" customHeight="false" outlineLevel="0" collapsed="false">
      <c r="A61" s="17"/>
      <c r="B61" s="18"/>
      <c r="C61" s="24" t="str">
        <f aca="false">IF($B61="","",IFERROR(INDEX('INVENTORY MASTER'!$K$4:$K$63,MATCH($B61,'INVENTORY MASTER'!$A$4:$A$63,0)),""))</f>
        <v/>
      </c>
      <c r="D61" s="24" t="str">
        <f aca="false">IF($B61="","",IFERROR(INDEX('INVENTORY MASTER'!$AR$4:$AR$63,MATCH($B61,'INVENTORY MASTER'!$A$4:$A$63,0)),""))</f>
        <v/>
      </c>
      <c r="E61" s="24" t="str">
        <f aca="false">IF($B61="","",IFERROR(INDEX('INVENTORY MASTER'!$AS$4:$AS$63,MATCH($B61,'INVENTORY MASTER'!$A$4:$A$63,0)),""))</f>
        <v/>
      </c>
      <c r="F61" s="18"/>
      <c r="G61" s="18"/>
      <c r="H61" s="18"/>
      <c r="I61" s="24" t="str">
        <f aca="false">IF($B61="","",IF($F61="No","MISSING",IF($G61="","",IF($G61=$D61,"OK","LOCATION DIFF"))))</f>
        <v/>
      </c>
      <c r="J61" s="18"/>
    </row>
    <row r="62" customFormat="false" ht="15" hidden="false" customHeight="false" outlineLevel="0" collapsed="false">
      <c r="A62" s="17"/>
      <c r="B62" s="18"/>
      <c r="C62" s="24" t="str">
        <f aca="false">IF($B62="","",IFERROR(INDEX('INVENTORY MASTER'!$K$4:$K$63,MATCH($B62,'INVENTORY MASTER'!$A$4:$A$63,0)),""))</f>
        <v/>
      </c>
      <c r="D62" s="24" t="str">
        <f aca="false">IF($B62="","",IFERROR(INDEX('INVENTORY MASTER'!$AR$4:$AR$63,MATCH($B62,'INVENTORY MASTER'!$A$4:$A$63,0)),""))</f>
        <v/>
      </c>
      <c r="E62" s="24" t="str">
        <f aca="false">IF($B62="","",IFERROR(INDEX('INVENTORY MASTER'!$AS$4:$AS$63,MATCH($B62,'INVENTORY MASTER'!$A$4:$A$63,0)),""))</f>
        <v/>
      </c>
      <c r="F62" s="18"/>
      <c r="G62" s="18"/>
      <c r="H62" s="18"/>
      <c r="I62" s="24" t="str">
        <f aca="false">IF($B62="","",IF($F62="No","MISSING",IF($G62="","",IF($G62=$D62,"OK","LOCATION DIFF"))))</f>
        <v/>
      </c>
      <c r="J62" s="18"/>
    </row>
    <row r="63" customFormat="false" ht="15" hidden="false" customHeight="false" outlineLevel="0" collapsed="false">
      <c r="A63" s="17"/>
      <c r="B63" s="18"/>
      <c r="C63" s="24" t="str">
        <f aca="false">IF($B63="","",IFERROR(INDEX('INVENTORY MASTER'!$K$4:$K$63,MATCH($B63,'INVENTORY MASTER'!$A$4:$A$63,0)),""))</f>
        <v/>
      </c>
      <c r="D63" s="24" t="str">
        <f aca="false">IF($B63="","",IFERROR(INDEX('INVENTORY MASTER'!$AR$4:$AR$63,MATCH($B63,'INVENTORY MASTER'!$A$4:$A$63,0)),""))</f>
        <v/>
      </c>
      <c r="E63" s="24" t="str">
        <f aca="false">IF($B63="","",IFERROR(INDEX('INVENTORY MASTER'!$AS$4:$AS$63,MATCH($B63,'INVENTORY MASTER'!$A$4:$A$63,0)),""))</f>
        <v/>
      </c>
      <c r="F63" s="18"/>
      <c r="G63" s="18"/>
      <c r="H63" s="18"/>
      <c r="I63" s="24" t="str">
        <f aca="false">IF($B63="","",IF($F63="No","MISSING",IF($G63="","",IF($G63=$D63,"OK","LOCATION DIFF"))))</f>
        <v/>
      </c>
      <c r="J63" s="18"/>
    </row>
  </sheetData>
  <sheetProtection sheet="true" password="c7e9" objects="true" scenarios="true" sort="false" autoFilter="false"/>
  <mergeCells count="2">
    <mergeCell ref="A1:J1"/>
    <mergeCell ref="A2:J2"/>
  </mergeCells>
  <conditionalFormatting sqref="A4:J63">
    <cfRule type="expression" priority="2" aboveAverage="0" equalAverage="0" bottom="0" percent="0" rank="0" text="" dxfId="0">
      <formula>$F4="No"</formula>
    </cfRule>
  </conditionalFormatting>
  <conditionalFormatting sqref="I4:I63">
    <cfRule type="expression" priority="3" aboveAverage="0" equalAverage="0" bottom="0" percent="0" rank="0" text="" dxfId="15">
      <formula>$I4="LOCATION DIFF"</formula>
    </cfRule>
  </conditionalFormatting>
  <dataValidations count="4">
    <dataValidation allowBlank="true" errorStyle="stop" operator="between" showDropDown="false" showErrorMessage="false" showInputMessage="false" sqref="F4:F63" type="list">
      <formula1>SETTINGS!$N$5:$N$6</formula1>
      <formula2>0</formula2>
    </dataValidation>
    <dataValidation allowBlank="true" errorStyle="stop" operator="between" showDropDown="false" showErrorMessage="false" showInputMessage="false" sqref="G4:G63" type="list">
      <formula1>SETTINGS!$C$5:$C$14</formula1>
      <formula2>0</formula2>
    </dataValidation>
    <dataValidation allowBlank="true" errorStyle="stop" operator="between" showDropDown="false" showErrorMessage="false" showInputMessage="false" sqref="H4:H63" type="list">
      <formula1>SETTINGS!$B$5:$B$8</formula1>
      <formula2>0</formula2>
    </dataValidation>
    <dataValidation allowBlank="true" errorStyle="stop" operator="between" showDropDown="false" showErrorMessage="false" showInputMessage="false" sqref="B4:B63" type="list">
      <formula1>'INVENTORY MASTER'!$A$4:$A$63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599</v>
      </c>
      <c r="B1" s="1"/>
      <c r="C1" s="1"/>
      <c r="D1" s="1"/>
    </row>
    <row r="2" customFormat="false" ht="15.75" hidden="false" customHeight="true" outlineLevel="0" collapsed="false">
      <c r="A2" s="2" t="s">
        <v>600</v>
      </c>
      <c r="B2" s="2"/>
      <c r="C2" s="2"/>
      <c r="D2" s="2"/>
    </row>
    <row r="4" customFormat="false" ht="15" hidden="false" customHeight="false" outlineLevel="0" collapsed="false">
      <c r="B4" s="39" t="s">
        <v>601</v>
      </c>
      <c r="C4" s="40" t="n">
        <v>2026</v>
      </c>
    </row>
    <row r="5" customFormat="false" ht="15" hidden="false" customHeight="false" outlineLevel="0" collapsed="false">
      <c r="B5" s="39" t="s">
        <v>602</v>
      </c>
      <c r="C5" s="40" t="n">
        <v>2</v>
      </c>
    </row>
    <row r="6" customFormat="false" ht="15" hidden="false" customHeight="false" outlineLevel="0" collapsed="false">
      <c r="B6" s="27" t="s">
        <v>603</v>
      </c>
      <c r="C6" s="41" t="str">
        <f aca="false">TEXT(DATE($C$4,$C$5,1),"MMMM YYYY")</f>
        <v>February 2026</v>
      </c>
    </row>
    <row r="8" customFormat="false" ht="15" hidden="false" customHeight="false" outlineLevel="0" collapsed="false">
      <c r="B8" s="15" t="s">
        <v>604</v>
      </c>
      <c r="C8" s="15" t="s">
        <v>59</v>
      </c>
      <c r="D8" s="15" t="s">
        <v>221</v>
      </c>
    </row>
    <row r="9" customFormat="false" ht="15" hidden="false" customHeight="false" outlineLevel="0" collapsed="false">
      <c r="B9" s="4" t="s">
        <v>605</v>
      </c>
      <c r="C9" s="42" t="n">
        <f aca="false">C12-C10+C11</f>
        <v>14850</v>
      </c>
      <c r="D9" s="43" t="s">
        <v>606</v>
      </c>
    </row>
    <row r="10" customFormat="false" ht="15" hidden="false" customHeight="false" outlineLevel="0" collapsed="false">
      <c r="B10" s="4" t="s">
        <v>607</v>
      </c>
      <c r="C10" s="42" t="n">
        <f aca="false">SUMIFS('INVENTORY MASTER'!$AI$4:$AI$63,'INVENTORY MASTER'!$D$4:$D$63,"&gt;="&amp;DATE($C$4,$C$5,1),'INVENTORY MASTER'!$D$4:$D$63,"&lt;="&amp;EOMONTH(DATE($C$4,$C$5,1),0))</f>
        <v>7940</v>
      </c>
      <c r="D10" s="43" t="s">
        <v>608</v>
      </c>
    </row>
    <row r="11" customFormat="false" ht="15" hidden="false" customHeight="false" outlineLevel="0" collapsed="false">
      <c r="B11" s="4" t="s">
        <v>609</v>
      </c>
      <c r="C11" s="42" t="n">
        <f aca="false">SUMIFS(SALES!$I$4:$I$63,SALES!$B$4:$B$63,"&gt;="&amp;DATE($C$4,$C$5,1),SALES!$B$4:$B$63,"&lt;="&amp;EOMONTH(DATE($C$4,$C$5,1),0))</f>
        <v>8100</v>
      </c>
      <c r="D11" s="43" t="s">
        <v>610</v>
      </c>
    </row>
    <row r="12" customFormat="false" ht="15" hidden="false" customHeight="false" outlineLevel="0" collapsed="false">
      <c r="B12" s="4" t="s">
        <v>611</v>
      </c>
      <c r="C12" s="42" t="n">
        <f aca="false">SUMIF('INVENTORY MASTER'!$AS$4:$AS$63,"&lt;&gt;Sold",'INVENTORY MASTER'!$AI$4:$AI$63)-SUMIF('INVENTORY MASTER'!$AS$4:$AS$63,"Written Off",'INVENTORY MASTER'!$AI$4:$AI$63)</f>
        <v>14690</v>
      </c>
      <c r="D12" s="43" t="s">
        <v>612</v>
      </c>
    </row>
    <row r="13" customFormat="false" ht="15" hidden="false" customHeight="false" outlineLevel="0" collapsed="false">
      <c r="B13" s="32" t="s">
        <v>613</v>
      </c>
      <c r="C13" s="44" t="n">
        <f aca="false">SUMIFS(SALES!$K$4:$K$63,SALES!$B$4:$B$63,"&gt;="&amp;DATE($C$4,$C$5,1),SALES!$B$4:$B$63,"&lt;="&amp;EOMONTH(DATE($C$4,$C$5,1),0))</f>
        <v>10200</v>
      </c>
      <c r="D13" s="43" t="s">
        <v>614</v>
      </c>
    </row>
    <row r="14" customFormat="false" ht="15" hidden="false" customHeight="false" outlineLevel="0" collapsed="false">
      <c r="B14" s="32" t="s">
        <v>615</v>
      </c>
      <c r="C14" s="44" t="n">
        <f aca="false">SUMIFS(SALES!$N$4:$N$63,SALES!$B$4:$B$63,"&gt;="&amp;DATE($C$4,$C$5,1),SALES!$B$4:$B$63,"&lt;="&amp;EOMONTH(DATE($C$4,$C$5,1),0))</f>
        <v>2100</v>
      </c>
      <c r="D14" s="43" t="s">
        <v>616</v>
      </c>
    </row>
    <row r="15" customFormat="false" ht="15" hidden="false" customHeight="false" outlineLevel="0" collapsed="false">
      <c r="B15" s="4" t="s">
        <v>617</v>
      </c>
      <c r="C15" s="45" t="n">
        <f aca="false">IFERROR(C14/C13,0)</f>
        <v>0.205882352941176</v>
      </c>
      <c r="D15" s="43" t="s">
        <v>618</v>
      </c>
    </row>
    <row r="16" customFormat="false" ht="15" hidden="false" customHeight="false" outlineLevel="0" collapsed="false">
      <c r="B16" s="4" t="s">
        <v>619</v>
      </c>
      <c r="C16" s="42" t="n">
        <f aca="false">SUMIFS(EXPENSES!$I$4:$I$83,EXPENSES!$B$4:$B$83,"&gt;="&amp;DATE($C$4,$C$5,1),EXPENSES!$B$4:$B$83,"&lt;="&amp;EOMONTH(DATE($C$4,$C$5,1),0))</f>
        <v>3720</v>
      </c>
      <c r="D16" s="43" t="s">
        <v>620</v>
      </c>
    </row>
    <row r="17" customFormat="false" ht="15" hidden="false" customHeight="false" outlineLevel="0" collapsed="false">
      <c r="B17" s="32" t="s">
        <v>621</v>
      </c>
      <c r="C17" s="44" t="n">
        <f aca="false">C14-C16</f>
        <v>-1620</v>
      </c>
      <c r="D17" s="43" t="s">
        <v>622</v>
      </c>
    </row>
    <row r="18" customFormat="false" ht="15" hidden="false" customHeight="false" outlineLevel="0" collapsed="false">
      <c r="B18" s="4" t="s">
        <v>623</v>
      </c>
      <c r="C18" s="42" t="n">
        <f aca="false">SUMIFS('PARTNER CONTRIBUTIONS'!$H$4:$H$63,'PARTNER CONTRIBUTIONS'!$B$4:$B$63,"&gt;="&amp;DATE($C$4,$C$5,1),'PARTNER CONTRIBUTIONS'!$B$4:$B$63,"&lt;="&amp;EOMONTH(DATE($C$4,$C$5,1),0))</f>
        <v>0</v>
      </c>
      <c r="D18" s="43" t="s">
        <v>624</v>
      </c>
    </row>
    <row r="19" customFormat="false" ht="15" hidden="false" customHeight="false" outlineLevel="0" collapsed="false">
      <c r="B19" s="4" t="s">
        <v>625</v>
      </c>
      <c r="C19" s="42" t="n">
        <f aca="false">SUMIFS('PARTNER CONTRIBUTIONS'!$K$4:$K$63,'PARTNER CONTRIBUTIONS'!$L$4:$L$63,"&gt;="&amp;DATE($C$4,$C$5,1),'PARTNER CONTRIBUTIONS'!$L$4:$L$63,"&lt;="&amp;EOMONTH(DATE($C$4,$C$5,1),0))</f>
        <v>2000</v>
      </c>
      <c r="D19" s="43" t="s">
        <v>626</v>
      </c>
    </row>
    <row r="20" customFormat="false" ht="15" hidden="false" customHeight="false" outlineLevel="0" collapsed="false">
      <c r="B20" s="4" t="s">
        <v>627</v>
      </c>
      <c r="C20" s="42" t="n">
        <f aca="false">SUMIFS('PARTNER CONTRIBUTIONS'!$H$4:$H$63,'PARTNER CONTRIBUTIONS'!$B$4:$B$63,"&gt;="&amp;DATE($C$4,$C$5,1),'PARTNER CONTRIBUTIONS'!$B$4:$B$63,"&lt;="&amp;EOMONTH(DATE($C$4,$C$5,1),0),'PARTNER CONTRIBUTIONS'!$D$4:$D$63,"Capital Contribution")+SUMIFS('PARTNER CONTRIBUTIONS'!$H$4:$H$63,'PARTNER CONTRIBUTIONS'!$B$4:$B$63,"&gt;="&amp;DATE($C$4,$C$5,1),'PARTNER CONTRIBUTIONS'!$B$4:$B$63,"&lt;="&amp;EOMONTH(DATE($C$4,$C$5,1),0),'PARTNER CONTRIBUTIONS'!$D$4:$D$63,"Partner Loan")</f>
        <v>0</v>
      </c>
      <c r="D20" s="43" t="s">
        <v>628</v>
      </c>
    </row>
    <row r="21" customFormat="false" ht="15" hidden="false" customHeight="false" outlineLevel="0" collapsed="false">
      <c r="B21" s="4" t="s">
        <v>629</v>
      </c>
      <c r="C21" s="42" t="n">
        <f aca="false">SUMIFS('PARTNER CONTRIBUTIONS'!$H$4:$H$63,'PARTNER CONTRIBUTIONS'!$B$4:$B$63,"&gt;="&amp;DATE($C$4,$C$5,1),'PARTNER CONTRIBUTIONS'!$B$4:$B$63,"&lt;="&amp;EOMONTH(DATE($C$4,$C$5,1),0),'PARTNER CONTRIBUTIONS'!$D$4:$D$63,"Withdrawal")</f>
        <v>0</v>
      </c>
      <c r="D21" s="43" t="s">
        <v>630</v>
      </c>
    </row>
  </sheetData>
  <sheetProtection sheet="true" password="c7e9" objects="true" scenarios="true" sort="false" autoFilter="false"/>
  <mergeCells count="2">
    <mergeCell ref="A1:D1"/>
    <mergeCell ref="A2:D2"/>
  </mergeCells>
  <dataValidations count="1">
    <dataValidation allowBlank="false" errorStyle="stop" operator="between" showDropDown="false" showErrorMessage="false" showInputMessage="false" sqref="C5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0" min="1" style="0" width="20"/>
    <col collapsed="false" customWidth="true" hidden="false" outlineLevel="0" max="22" min="22" style="0" width="30"/>
    <col collapsed="false" customWidth="true" hidden="false" outlineLevel="0" max="23" min="23" style="0" width="18"/>
  </cols>
  <sheetData>
    <row r="1" customFormat="false" ht="30" hidden="false" customHeight="true" outlineLevel="0" collapsed="false">
      <c r="A1" s="1" t="s">
        <v>631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632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15" t="s">
        <v>633</v>
      </c>
      <c r="B4" s="15" t="s">
        <v>634</v>
      </c>
      <c r="C4" s="15" t="s">
        <v>635</v>
      </c>
      <c r="D4" s="15" t="s">
        <v>636</v>
      </c>
      <c r="E4" s="15" t="s">
        <v>637</v>
      </c>
      <c r="F4" s="15" t="s">
        <v>212</v>
      </c>
      <c r="G4" s="15" t="s">
        <v>638</v>
      </c>
      <c r="H4" s="15" t="s">
        <v>639</v>
      </c>
      <c r="I4" s="15" t="s">
        <v>640</v>
      </c>
      <c r="J4" s="15" t="s">
        <v>641</v>
      </c>
      <c r="K4" s="15" t="s">
        <v>642</v>
      </c>
      <c r="L4" s="15" t="s">
        <v>203</v>
      </c>
      <c r="M4" s="15" t="s">
        <v>193</v>
      </c>
      <c r="N4" s="15" t="s">
        <v>643</v>
      </c>
      <c r="O4" s="15" t="s">
        <v>371</v>
      </c>
      <c r="P4" s="15" t="s">
        <v>375</v>
      </c>
      <c r="Q4" s="15" t="s">
        <v>644</v>
      </c>
      <c r="R4" s="15" t="s">
        <v>645</v>
      </c>
      <c r="S4" s="15" t="s">
        <v>466</v>
      </c>
      <c r="T4" s="15" t="s">
        <v>180</v>
      </c>
      <c r="V4" s="46" t="s">
        <v>646</v>
      </c>
    </row>
    <row r="5" customFormat="false" ht="15" hidden="false" customHeight="false" outlineLevel="0" collapsed="false">
      <c r="A5" s="18" t="s">
        <v>99</v>
      </c>
      <c r="B5" s="18" t="s">
        <v>62</v>
      </c>
      <c r="C5" s="18" t="s">
        <v>263</v>
      </c>
      <c r="D5" s="18" t="s">
        <v>61</v>
      </c>
      <c r="E5" s="18" t="s">
        <v>224</v>
      </c>
      <c r="F5" s="18" t="s">
        <v>264</v>
      </c>
      <c r="G5" s="18" t="s">
        <v>647</v>
      </c>
      <c r="H5" s="18" t="s">
        <v>63</v>
      </c>
      <c r="I5" s="18" t="s">
        <v>648</v>
      </c>
      <c r="J5" s="18" t="s">
        <v>395</v>
      </c>
      <c r="K5" s="18" t="s">
        <v>235</v>
      </c>
      <c r="L5" s="18" t="s">
        <v>99</v>
      </c>
      <c r="M5" s="18" t="s">
        <v>258</v>
      </c>
      <c r="N5" s="18" t="s">
        <v>232</v>
      </c>
      <c r="O5" s="18" t="s">
        <v>649</v>
      </c>
      <c r="P5" s="18" t="s">
        <v>382</v>
      </c>
      <c r="Q5" s="18" t="s">
        <v>650</v>
      </c>
      <c r="R5" s="18" t="s">
        <v>651</v>
      </c>
      <c r="S5" s="18" t="s">
        <v>652</v>
      </c>
      <c r="T5" s="18" t="s">
        <v>653</v>
      </c>
      <c r="V5" s="47" t="s">
        <v>654</v>
      </c>
      <c r="W5" s="48" t="s">
        <v>655</v>
      </c>
    </row>
    <row r="6" customFormat="false" ht="15" hidden="false" customHeight="false" outlineLevel="0" collapsed="false">
      <c r="A6" s="18" t="s">
        <v>100</v>
      </c>
      <c r="B6" s="18" t="s">
        <v>66</v>
      </c>
      <c r="C6" s="18" t="s">
        <v>240</v>
      </c>
      <c r="D6" s="18" t="s">
        <v>65</v>
      </c>
      <c r="E6" s="18" t="s">
        <v>656</v>
      </c>
      <c r="F6" s="18" t="s">
        <v>657</v>
      </c>
      <c r="G6" s="18" t="s">
        <v>401</v>
      </c>
      <c r="H6" s="18" t="s">
        <v>84</v>
      </c>
      <c r="I6" s="18" t="s">
        <v>238</v>
      </c>
      <c r="J6" s="18" t="s">
        <v>410</v>
      </c>
      <c r="K6" s="18" t="s">
        <v>260</v>
      </c>
      <c r="L6" s="18" t="s">
        <v>100</v>
      </c>
      <c r="M6" s="18" t="s">
        <v>658</v>
      </c>
      <c r="N6" s="18" t="s">
        <v>275</v>
      </c>
      <c r="O6" s="18" t="s">
        <v>381</v>
      </c>
      <c r="P6" s="18" t="s">
        <v>659</v>
      </c>
      <c r="Q6" s="18" t="s">
        <v>505</v>
      </c>
      <c r="R6" s="18" t="s">
        <v>63</v>
      </c>
      <c r="S6" s="18" t="s">
        <v>660</v>
      </c>
      <c r="T6" s="18" t="s">
        <v>661</v>
      </c>
      <c r="V6" s="47" t="s">
        <v>662</v>
      </c>
      <c r="W6" s="49" t="n">
        <f aca="true">TODAY()</f>
        <v>46264</v>
      </c>
    </row>
    <row r="7" customFormat="false" ht="15" hidden="false" customHeight="false" outlineLevel="0" collapsed="false">
      <c r="A7" s="18" t="s">
        <v>101</v>
      </c>
      <c r="B7" s="18" t="s">
        <v>70</v>
      </c>
      <c r="C7" s="18" t="s">
        <v>663</v>
      </c>
      <c r="D7" s="18" t="s">
        <v>69</v>
      </c>
      <c r="E7" s="18" t="s">
        <v>248</v>
      </c>
      <c r="F7" s="18" t="s">
        <v>241</v>
      </c>
      <c r="G7" s="18" t="s">
        <v>664</v>
      </c>
      <c r="H7" s="18" t="s">
        <v>67</v>
      </c>
      <c r="I7" s="18" t="s">
        <v>282</v>
      </c>
      <c r="J7" s="18" t="s">
        <v>238</v>
      </c>
      <c r="K7" s="18" t="s">
        <v>304</v>
      </c>
      <c r="L7" s="18" t="s">
        <v>101</v>
      </c>
      <c r="M7" s="18" t="s">
        <v>233</v>
      </c>
      <c r="O7" s="18" t="s">
        <v>665</v>
      </c>
      <c r="P7" s="18" t="s">
        <v>666</v>
      </c>
      <c r="Q7" s="18" t="s">
        <v>667</v>
      </c>
      <c r="R7" s="18" t="s">
        <v>469</v>
      </c>
      <c r="S7" s="18" t="s">
        <v>471</v>
      </c>
      <c r="T7" s="18" t="s">
        <v>290</v>
      </c>
      <c r="V7" s="47" t="s">
        <v>668</v>
      </c>
      <c r="W7" s="49" t="n">
        <f aca="false">DATE(YEAR($W$6),MONTH($W$6),1)</f>
        <v>46235</v>
      </c>
    </row>
    <row r="8" customFormat="false" ht="15" hidden="false" customHeight="false" outlineLevel="0" collapsed="false">
      <c r="B8" s="18" t="s">
        <v>74</v>
      </c>
      <c r="C8" s="18" t="s">
        <v>99</v>
      </c>
      <c r="D8" s="18" t="s">
        <v>73</v>
      </c>
      <c r="E8" s="18" t="s">
        <v>669</v>
      </c>
      <c r="F8" s="18" t="s">
        <v>670</v>
      </c>
      <c r="G8" s="18" t="s">
        <v>243</v>
      </c>
      <c r="H8" s="18" t="s">
        <v>404</v>
      </c>
      <c r="I8" s="18" t="s">
        <v>671</v>
      </c>
      <c r="J8" s="18" t="s">
        <v>63</v>
      </c>
      <c r="K8" s="18" t="s">
        <v>278</v>
      </c>
      <c r="L8" s="18" t="s">
        <v>281</v>
      </c>
      <c r="M8" s="18" t="s">
        <v>276</v>
      </c>
      <c r="O8" s="18" t="s">
        <v>672</v>
      </c>
      <c r="P8" s="18" t="s">
        <v>673</v>
      </c>
      <c r="Q8" s="18" t="s">
        <v>674</v>
      </c>
      <c r="R8" s="18" t="s">
        <v>675</v>
      </c>
      <c r="S8" s="18" t="s">
        <v>676</v>
      </c>
      <c r="T8" s="18" t="s">
        <v>314</v>
      </c>
      <c r="V8" s="47" t="s">
        <v>677</v>
      </c>
      <c r="W8" s="49" t="n">
        <f aca="false">EOMONTH($W$6,0)</f>
        <v>46265</v>
      </c>
    </row>
    <row r="9" customFormat="false" ht="15" hidden="false" customHeight="false" outlineLevel="0" collapsed="false">
      <c r="C9" s="18" t="s">
        <v>100</v>
      </c>
      <c r="D9" s="18" t="s">
        <v>77</v>
      </c>
      <c r="E9" s="18" t="s">
        <v>678</v>
      </c>
      <c r="F9" s="18" t="s">
        <v>308</v>
      </c>
      <c r="G9" s="18" t="s">
        <v>679</v>
      </c>
      <c r="H9" s="18" t="s">
        <v>680</v>
      </c>
      <c r="I9" s="18" t="s">
        <v>681</v>
      </c>
      <c r="J9" s="18" t="s">
        <v>682</v>
      </c>
      <c r="K9" s="18" t="s">
        <v>683</v>
      </c>
      <c r="L9" s="18" t="s">
        <v>684</v>
      </c>
      <c r="M9" s="18" t="s">
        <v>685</v>
      </c>
      <c r="O9" s="18" t="s">
        <v>686</v>
      </c>
      <c r="P9" s="18" t="s">
        <v>687</v>
      </c>
      <c r="Q9" s="18" t="s">
        <v>688</v>
      </c>
      <c r="R9" s="18" t="s">
        <v>689</v>
      </c>
      <c r="S9" s="18" t="s">
        <v>690</v>
      </c>
      <c r="T9" s="18" t="s">
        <v>691</v>
      </c>
      <c r="V9" s="47" t="s">
        <v>692</v>
      </c>
      <c r="W9" s="49" t="n">
        <f aca="false">DATE(YEAR($W$6),1,1)</f>
        <v>46023</v>
      </c>
    </row>
    <row r="10" customFormat="false" ht="15" hidden="false" customHeight="false" outlineLevel="0" collapsed="false">
      <c r="C10" s="18" t="s">
        <v>101</v>
      </c>
      <c r="D10" s="18" t="s">
        <v>80</v>
      </c>
      <c r="E10" s="18" t="s">
        <v>693</v>
      </c>
      <c r="F10" s="18" t="s">
        <v>694</v>
      </c>
      <c r="G10" s="18" t="s">
        <v>695</v>
      </c>
      <c r="H10" s="18" t="s">
        <v>475</v>
      </c>
      <c r="I10" s="18" t="s">
        <v>696</v>
      </c>
      <c r="J10" s="18" t="s">
        <v>404</v>
      </c>
      <c r="K10" s="18" t="s">
        <v>292</v>
      </c>
      <c r="L10" s="18" t="s">
        <v>696</v>
      </c>
      <c r="M10" s="18" t="s">
        <v>697</v>
      </c>
      <c r="Q10" s="18" t="s">
        <v>698</v>
      </c>
      <c r="R10" s="18" t="s">
        <v>699</v>
      </c>
      <c r="T10" s="18" t="s">
        <v>700</v>
      </c>
      <c r="V10" s="47" t="s">
        <v>701</v>
      </c>
      <c r="W10" s="49" t="n">
        <f aca="false">DATE(YEAR($W$6),12,31)</f>
        <v>46387</v>
      </c>
    </row>
    <row r="11" customFormat="false" ht="15" hidden="false" customHeight="false" outlineLevel="0" collapsed="false">
      <c r="C11" s="18" t="s">
        <v>508</v>
      </c>
      <c r="D11" s="18" t="s">
        <v>83</v>
      </c>
      <c r="E11" s="18" t="s">
        <v>311</v>
      </c>
      <c r="F11" s="18" t="s">
        <v>674</v>
      </c>
      <c r="G11" s="18" t="s">
        <v>92</v>
      </c>
      <c r="H11" s="18" t="s">
        <v>702</v>
      </c>
      <c r="I11" s="18" t="s">
        <v>92</v>
      </c>
      <c r="J11" s="18" t="s">
        <v>680</v>
      </c>
      <c r="K11" s="18" t="s">
        <v>703</v>
      </c>
      <c r="L11" s="18" t="s">
        <v>92</v>
      </c>
      <c r="M11" s="18" t="s">
        <v>704</v>
      </c>
      <c r="Q11" s="18" t="s">
        <v>705</v>
      </c>
      <c r="R11" s="18" t="s">
        <v>706</v>
      </c>
      <c r="T11" s="18" t="s">
        <v>253</v>
      </c>
      <c r="V11" s="47" t="s">
        <v>707</v>
      </c>
      <c r="W11" s="49" t="n">
        <f aca="false">$W$6-WEEKDAY($W$6,2)+1</f>
        <v>46258</v>
      </c>
    </row>
    <row r="12" customFormat="false" ht="15" hidden="false" customHeight="false" outlineLevel="0" collapsed="false">
      <c r="C12" s="18" t="s">
        <v>703</v>
      </c>
      <c r="D12" s="18" t="s">
        <v>86</v>
      </c>
      <c r="E12" s="18" t="s">
        <v>287</v>
      </c>
      <c r="F12" s="18" t="s">
        <v>681</v>
      </c>
      <c r="H12" s="18" t="s">
        <v>708</v>
      </c>
      <c r="J12" s="18" t="s">
        <v>709</v>
      </c>
      <c r="K12" s="18" t="s">
        <v>92</v>
      </c>
      <c r="Q12" s="18" t="s">
        <v>510</v>
      </c>
      <c r="R12" s="18" t="s">
        <v>710</v>
      </c>
      <c r="T12" s="18" t="s">
        <v>711</v>
      </c>
      <c r="V12" s="47" t="s">
        <v>712</v>
      </c>
      <c r="W12" s="48" t="s">
        <v>713</v>
      </c>
    </row>
    <row r="13" customFormat="false" ht="15" hidden="false" customHeight="false" outlineLevel="0" collapsed="false">
      <c r="C13" s="18" t="s">
        <v>436</v>
      </c>
      <c r="D13" s="18" t="s">
        <v>89</v>
      </c>
      <c r="E13" s="18" t="s">
        <v>714</v>
      </c>
      <c r="F13" s="18" t="s">
        <v>715</v>
      </c>
      <c r="H13" s="18" t="s">
        <v>71</v>
      </c>
      <c r="J13" s="18" t="s">
        <v>78</v>
      </c>
      <c r="Q13" s="18" t="s">
        <v>716</v>
      </c>
      <c r="R13" s="18" t="s">
        <v>717</v>
      </c>
      <c r="T13" s="18" t="s">
        <v>511</v>
      </c>
    </row>
    <row r="14" customFormat="false" ht="15" hidden="false" customHeight="false" outlineLevel="0" collapsed="false">
      <c r="C14" s="18" t="s">
        <v>92</v>
      </c>
      <c r="D14" s="18" t="s">
        <v>92</v>
      </c>
      <c r="E14" s="18" t="s">
        <v>718</v>
      </c>
      <c r="F14" s="18" t="s">
        <v>719</v>
      </c>
      <c r="H14" s="18" t="s">
        <v>720</v>
      </c>
      <c r="J14" s="18" t="s">
        <v>721</v>
      </c>
      <c r="Q14" s="18" t="s">
        <v>92</v>
      </c>
      <c r="R14" s="18" t="s">
        <v>708</v>
      </c>
      <c r="V14" s="46" t="s">
        <v>722</v>
      </c>
    </row>
    <row r="15" customFormat="false" ht="15" hidden="false" customHeight="false" outlineLevel="0" collapsed="false">
      <c r="E15" s="18" t="s">
        <v>723</v>
      </c>
      <c r="F15" s="18" t="s">
        <v>724</v>
      </c>
      <c r="H15" s="18" t="s">
        <v>725</v>
      </c>
      <c r="J15" s="18" t="s">
        <v>726</v>
      </c>
      <c r="R15" s="18" t="s">
        <v>481</v>
      </c>
      <c r="V15" s="47" t="s">
        <v>99</v>
      </c>
      <c r="W15" s="50" t="n">
        <v>0.4</v>
      </c>
    </row>
    <row r="16" customFormat="false" ht="15" hidden="false" customHeight="false" outlineLevel="0" collapsed="false">
      <c r="E16" s="18" t="s">
        <v>92</v>
      </c>
      <c r="H16" s="18" t="s">
        <v>727</v>
      </c>
      <c r="J16" s="18" t="s">
        <v>728</v>
      </c>
      <c r="R16" s="18" t="s">
        <v>475</v>
      </c>
      <c r="V16" s="47" t="s">
        <v>100</v>
      </c>
      <c r="W16" s="50" t="n">
        <v>0.35</v>
      </c>
    </row>
    <row r="17" customFormat="false" ht="15" hidden="false" customHeight="false" outlineLevel="0" collapsed="false">
      <c r="H17" s="18" t="s">
        <v>729</v>
      </c>
      <c r="J17" s="18" t="s">
        <v>92</v>
      </c>
      <c r="R17" s="18" t="s">
        <v>730</v>
      </c>
      <c r="V17" s="47" t="s">
        <v>101</v>
      </c>
      <c r="W17" s="50" t="n">
        <v>0.25</v>
      </c>
    </row>
    <row r="18" customFormat="false" ht="15" hidden="false" customHeight="false" outlineLevel="0" collapsed="false">
      <c r="H18" s="18" t="s">
        <v>537</v>
      </c>
      <c r="R18" s="18" t="s">
        <v>731</v>
      </c>
      <c r="V18" s="47" t="s">
        <v>732</v>
      </c>
      <c r="W18" s="51" t="n">
        <f aca="false">SUM($W$15:$W$17)</f>
        <v>1</v>
      </c>
    </row>
    <row r="19" customFormat="false" ht="15" hidden="false" customHeight="false" outlineLevel="0" collapsed="false">
      <c r="H19" s="18" t="s">
        <v>75</v>
      </c>
      <c r="R19" s="18" t="s">
        <v>733</v>
      </c>
      <c r="V19" s="52" t="str">
        <f aca="false">IF(ROUND($W$18,4)=1,"✓ Ownership totals 100%","⚠ CHECK: ownership must total 100%")</f>
        <v>✓ Ownership totals 100%</v>
      </c>
    </row>
    <row r="20" customFormat="false" ht="15" hidden="false" customHeight="false" outlineLevel="0" collapsed="false">
      <c r="H20" s="18" t="s">
        <v>734</v>
      </c>
      <c r="R20" s="18" t="s">
        <v>735</v>
      </c>
    </row>
    <row r="21" customFormat="false" ht="15" hidden="false" customHeight="false" outlineLevel="0" collapsed="false">
      <c r="H21" s="18" t="s">
        <v>736</v>
      </c>
      <c r="R21" s="18" t="s">
        <v>709</v>
      </c>
    </row>
    <row r="22" customFormat="false" ht="13.5" hidden="false" customHeight="true" outlineLevel="0" collapsed="false">
      <c r="H22" s="18" t="s">
        <v>737</v>
      </c>
      <c r="R22" s="18" t="s">
        <v>92</v>
      </c>
      <c r="V22" s="46" t="s">
        <v>738</v>
      </c>
    </row>
    <row r="23" customFormat="false" ht="15" hidden="false" customHeight="false" outlineLevel="0" collapsed="false">
      <c r="H23" s="18" t="s">
        <v>78</v>
      </c>
      <c r="V23" s="39" t="s">
        <v>739</v>
      </c>
      <c r="W23" s="53" t="str">
        <f aca="false">"WAT-"&amp;TEXT(COUNTIF('INVENTORY MASTER'!$A$3:$A$203,"WAT-*")+1,"0000")</f>
        <v>WAT-0004</v>
      </c>
    </row>
    <row r="24" customFormat="false" ht="15" hidden="false" customHeight="false" outlineLevel="0" collapsed="false">
      <c r="H24" s="18" t="s">
        <v>740</v>
      </c>
      <c r="V24" s="39" t="s">
        <v>741</v>
      </c>
      <c r="W24" s="53" t="str">
        <f aca="false">"JWL-"&amp;TEXT(COUNTIF('INVENTORY MASTER'!$A$3:$A$203,"JWL-*")+1,"0000")</f>
        <v>JWL-0004</v>
      </c>
    </row>
    <row r="25" customFormat="false" ht="15" hidden="false" customHeight="false" outlineLevel="0" collapsed="false">
      <c r="H25" s="18" t="s">
        <v>87</v>
      </c>
    </row>
    <row r="26" customFormat="false" ht="15" hidden="false" customHeight="false" outlineLevel="0" collapsed="false">
      <c r="H26" s="18" t="s">
        <v>742</v>
      </c>
    </row>
    <row r="27" customFormat="false" ht="15" hidden="false" customHeight="false" outlineLevel="0" collapsed="false">
      <c r="H27" s="18" t="s">
        <v>743</v>
      </c>
      <c r="V27" s="46" t="s">
        <v>744</v>
      </c>
    </row>
    <row r="28" customFormat="false" ht="15" hidden="false" customHeight="false" outlineLevel="0" collapsed="false">
      <c r="H28" s="18" t="s">
        <v>745</v>
      </c>
      <c r="V28" s="9" t="s">
        <v>746</v>
      </c>
      <c r="W28" s="9" t="s">
        <v>747</v>
      </c>
    </row>
    <row r="29" customFormat="false" ht="15" hidden="false" customHeight="false" outlineLevel="0" collapsed="false">
      <c r="H29" s="18" t="s">
        <v>748</v>
      </c>
      <c r="V29" s="18" t="s">
        <v>237</v>
      </c>
      <c r="W29" s="54" t="n">
        <v>1</v>
      </c>
    </row>
    <row r="30" customFormat="false" ht="15" hidden="false" customHeight="false" outlineLevel="0" collapsed="false">
      <c r="H30" s="18" t="s">
        <v>749</v>
      </c>
      <c r="V30" s="18" t="s">
        <v>280</v>
      </c>
      <c r="W30" s="54" t="n">
        <v>0.79</v>
      </c>
    </row>
    <row r="31" customFormat="false" ht="15" hidden="false" customHeight="false" outlineLevel="0" collapsed="false">
      <c r="H31" s="18" t="s">
        <v>750</v>
      </c>
      <c r="V31" s="18" t="s">
        <v>751</v>
      </c>
      <c r="W31" s="54" t="n">
        <v>0.85</v>
      </c>
    </row>
    <row r="32" customFormat="false" ht="15" hidden="false" customHeight="false" outlineLevel="0" collapsed="false">
      <c r="H32" s="18" t="s">
        <v>752</v>
      </c>
      <c r="V32" s="18" t="s">
        <v>306</v>
      </c>
      <c r="W32" s="54" t="n">
        <v>0.215</v>
      </c>
    </row>
    <row r="33" customFormat="false" ht="15" hidden="false" customHeight="false" outlineLevel="0" collapsed="false">
      <c r="H33" s="18" t="s">
        <v>81</v>
      </c>
      <c r="V33" s="18" t="s">
        <v>753</v>
      </c>
      <c r="W33" s="54" t="n">
        <v>0.88</v>
      </c>
    </row>
    <row r="34" customFormat="false" ht="15" hidden="false" customHeight="false" outlineLevel="0" collapsed="false">
      <c r="H34" s="18" t="s">
        <v>709</v>
      </c>
      <c r="V34" s="18" t="s">
        <v>754</v>
      </c>
      <c r="W34" s="54" t="n">
        <v>0.1</v>
      </c>
    </row>
    <row r="35" customFormat="false" ht="15" hidden="false" customHeight="false" outlineLevel="0" collapsed="false">
      <c r="H35" s="18" t="s">
        <v>90</v>
      </c>
      <c r="V35" s="18" t="s">
        <v>755</v>
      </c>
      <c r="W35" s="54" t="n">
        <v>0.0053</v>
      </c>
    </row>
    <row r="36" customFormat="false" ht="15" hidden="false" customHeight="false" outlineLevel="0" collapsed="false">
      <c r="V36" s="18" t="s">
        <v>92</v>
      </c>
      <c r="W36" s="54" t="n">
        <v>1</v>
      </c>
    </row>
    <row r="37" customFormat="false" ht="19.4" hidden="false" customHeight="false" outlineLevel="0" collapsed="false">
      <c r="V37" s="55" t="s">
        <v>756</v>
      </c>
    </row>
  </sheetData>
  <sheetProtection sheet="true" password="c7e9" objects="true" scenarios="true" sort="false" autoFilter="false"/>
  <mergeCells count="2">
    <mergeCell ref="A1:L1"/>
    <mergeCell ref="A2:L2"/>
  </mergeCells>
  <conditionalFormatting sqref="W18">
    <cfRule type="expression" priority="2" aboveAverage="0" equalAverage="0" bottom="0" percent="0" rank="0" text="" dxfId="0">
      <formula>ROUND($W$18,4)&lt;&gt;1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24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1" t="s">
        <v>757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758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15" t="s">
        <v>387</v>
      </c>
      <c r="B3" s="15" t="s">
        <v>494</v>
      </c>
      <c r="C3" s="15" t="s">
        <v>759</v>
      </c>
      <c r="D3" s="15" t="s">
        <v>760</v>
      </c>
      <c r="E3" s="15" t="s">
        <v>761</v>
      </c>
      <c r="F3" s="15" t="s">
        <v>762</v>
      </c>
      <c r="G3" s="15" t="s">
        <v>763</v>
      </c>
      <c r="H3" s="15" t="s">
        <v>764</v>
      </c>
      <c r="I3" s="15" t="s">
        <v>500</v>
      </c>
      <c r="J3" s="15" t="s">
        <v>765</v>
      </c>
    </row>
    <row r="4" customFormat="false" ht="15" hidden="false" customHeight="false" outlineLevel="0" collapsed="false">
      <c r="A4" s="17" t="n">
        <v>46065</v>
      </c>
      <c r="B4" s="36" t="n">
        <v>0.677083333333333</v>
      </c>
      <c r="C4" s="18" t="s">
        <v>62</v>
      </c>
      <c r="D4" s="18" t="s">
        <v>766</v>
      </c>
      <c r="E4" s="18" t="s">
        <v>222</v>
      </c>
      <c r="F4" s="18" t="s">
        <v>366</v>
      </c>
      <c r="G4" s="18" t="s">
        <v>767</v>
      </c>
      <c r="H4" s="18" t="s">
        <v>768</v>
      </c>
      <c r="I4" s="18" t="s">
        <v>769</v>
      </c>
      <c r="J4" s="18" t="s">
        <v>99</v>
      </c>
    </row>
    <row r="5" customFormat="false" ht="15" hidden="false" customHeight="false" outlineLevel="0" collapsed="false">
      <c r="A5" s="17"/>
      <c r="B5" s="36"/>
      <c r="C5" s="18"/>
      <c r="D5" s="18"/>
      <c r="E5" s="18"/>
      <c r="F5" s="18"/>
      <c r="G5" s="18"/>
      <c r="H5" s="18"/>
      <c r="I5" s="18"/>
      <c r="J5" s="18"/>
    </row>
    <row r="6" customFormat="false" ht="15" hidden="false" customHeight="false" outlineLevel="0" collapsed="false">
      <c r="A6" s="17"/>
      <c r="B6" s="36"/>
      <c r="C6" s="18"/>
      <c r="D6" s="18"/>
      <c r="E6" s="18"/>
      <c r="F6" s="18"/>
      <c r="G6" s="18"/>
      <c r="H6" s="18"/>
      <c r="I6" s="18"/>
      <c r="J6" s="18"/>
    </row>
    <row r="7" customFormat="false" ht="15" hidden="false" customHeight="false" outlineLevel="0" collapsed="false">
      <c r="A7" s="17"/>
      <c r="B7" s="36"/>
      <c r="C7" s="18"/>
      <c r="D7" s="18"/>
      <c r="E7" s="18"/>
      <c r="F7" s="18"/>
      <c r="G7" s="18"/>
      <c r="H7" s="18"/>
      <c r="I7" s="18"/>
      <c r="J7" s="18"/>
    </row>
    <row r="8" customFormat="false" ht="15" hidden="false" customHeight="false" outlineLevel="0" collapsed="false">
      <c r="A8" s="17"/>
      <c r="B8" s="36"/>
      <c r="C8" s="18"/>
      <c r="D8" s="18"/>
      <c r="E8" s="18"/>
      <c r="F8" s="18"/>
      <c r="G8" s="18"/>
      <c r="H8" s="18"/>
      <c r="I8" s="18"/>
      <c r="J8" s="18"/>
    </row>
    <row r="9" customFormat="false" ht="15" hidden="false" customHeight="false" outlineLevel="0" collapsed="false">
      <c r="A9" s="17"/>
      <c r="B9" s="36"/>
      <c r="C9" s="18"/>
      <c r="D9" s="18"/>
      <c r="E9" s="18"/>
      <c r="F9" s="18"/>
      <c r="G9" s="18"/>
      <c r="H9" s="18"/>
      <c r="I9" s="18"/>
      <c r="J9" s="18"/>
    </row>
    <row r="10" customFormat="false" ht="15" hidden="false" customHeight="false" outlineLevel="0" collapsed="false">
      <c r="A10" s="17"/>
      <c r="B10" s="36"/>
      <c r="C10" s="18"/>
      <c r="D10" s="18"/>
      <c r="E10" s="18"/>
      <c r="F10" s="18"/>
      <c r="G10" s="18"/>
      <c r="H10" s="18"/>
      <c r="I10" s="18"/>
      <c r="J10" s="18"/>
    </row>
    <row r="11" customFormat="false" ht="15" hidden="false" customHeight="false" outlineLevel="0" collapsed="false">
      <c r="A11" s="17"/>
      <c r="B11" s="36"/>
      <c r="C11" s="18"/>
      <c r="D11" s="18"/>
      <c r="E11" s="18"/>
      <c r="F11" s="18"/>
      <c r="G11" s="18"/>
      <c r="H11" s="18"/>
      <c r="I11" s="18"/>
      <c r="J11" s="18"/>
    </row>
    <row r="12" customFormat="false" ht="15" hidden="false" customHeight="false" outlineLevel="0" collapsed="false">
      <c r="A12" s="17"/>
      <c r="B12" s="36"/>
      <c r="C12" s="18"/>
      <c r="D12" s="18"/>
      <c r="E12" s="18"/>
      <c r="F12" s="18"/>
      <c r="G12" s="18"/>
      <c r="H12" s="18"/>
      <c r="I12" s="18"/>
      <c r="J12" s="18"/>
    </row>
    <row r="13" customFormat="false" ht="15" hidden="false" customHeight="false" outlineLevel="0" collapsed="false">
      <c r="A13" s="17"/>
      <c r="B13" s="36"/>
      <c r="C13" s="18"/>
      <c r="D13" s="18"/>
      <c r="E13" s="18"/>
      <c r="F13" s="18"/>
      <c r="G13" s="18"/>
      <c r="H13" s="18"/>
      <c r="I13" s="18"/>
      <c r="J13" s="18"/>
    </row>
    <row r="14" customFormat="false" ht="15" hidden="false" customHeight="false" outlineLevel="0" collapsed="false">
      <c r="A14" s="17"/>
      <c r="B14" s="36"/>
      <c r="C14" s="18"/>
      <c r="D14" s="18"/>
      <c r="E14" s="18"/>
      <c r="F14" s="18"/>
      <c r="G14" s="18"/>
      <c r="H14" s="18"/>
      <c r="I14" s="18"/>
      <c r="J14" s="18"/>
    </row>
    <row r="15" customFormat="false" ht="15" hidden="false" customHeight="false" outlineLevel="0" collapsed="false">
      <c r="A15" s="17"/>
      <c r="B15" s="36"/>
      <c r="C15" s="18"/>
      <c r="D15" s="18"/>
      <c r="E15" s="18"/>
      <c r="F15" s="18"/>
      <c r="G15" s="18"/>
      <c r="H15" s="18"/>
      <c r="I15" s="18"/>
      <c r="J15" s="18"/>
    </row>
    <row r="16" customFormat="false" ht="15" hidden="false" customHeight="false" outlineLevel="0" collapsed="false">
      <c r="A16" s="17"/>
      <c r="B16" s="36"/>
      <c r="C16" s="18"/>
      <c r="D16" s="18"/>
      <c r="E16" s="18"/>
      <c r="F16" s="18"/>
      <c r="G16" s="18"/>
      <c r="H16" s="18"/>
      <c r="I16" s="18"/>
      <c r="J16" s="18"/>
    </row>
    <row r="17" customFormat="false" ht="15" hidden="false" customHeight="false" outlineLevel="0" collapsed="false">
      <c r="A17" s="17"/>
      <c r="B17" s="36"/>
      <c r="C17" s="18"/>
      <c r="D17" s="18"/>
      <c r="E17" s="18"/>
      <c r="F17" s="18"/>
      <c r="G17" s="18"/>
      <c r="H17" s="18"/>
      <c r="I17" s="18"/>
      <c r="J17" s="18"/>
    </row>
    <row r="18" customFormat="false" ht="15" hidden="false" customHeight="false" outlineLevel="0" collapsed="false">
      <c r="A18" s="17"/>
      <c r="B18" s="36"/>
      <c r="C18" s="18"/>
      <c r="D18" s="18"/>
      <c r="E18" s="18"/>
      <c r="F18" s="18"/>
      <c r="G18" s="18"/>
      <c r="H18" s="18"/>
      <c r="I18" s="18"/>
      <c r="J18" s="18"/>
    </row>
    <row r="19" customFormat="false" ht="15" hidden="false" customHeight="false" outlineLevel="0" collapsed="false">
      <c r="A19" s="17"/>
      <c r="B19" s="36"/>
      <c r="C19" s="18"/>
      <c r="D19" s="18"/>
      <c r="E19" s="18"/>
      <c r="F19" s="18"/>
      <c r="G19" s="18"/>
      <c r="H19" s="18"/>
      <c r="I19" s="18"/>
      <c r="J19" s="18"/>
    </row>
    <row r="20" customFormat="false" ht="15" hidden="false" customHeight="false" outlineLevel="0" collapsed="false">
      <c r="A20" s="17"/>
      <c r="B20" s="36"/>
      <c r="C20" s="18"/>
      <c r="D20" s="18"/>
      <c r="E20" s="18"/>
      <c r="F20" s="18"/>
      <c r="G20" s="18"/>
      <c r="H20" s="18"/>
      <c r="I20" s="18"/>
      <c r="J20" s="18"/>
    </row>
    <row r="21" customFormat="false" ht="15" hidden="false" customHeight="false" outlineLevel="0" collapsed="false">
      <c r="A21" s="17"/>
      <c r="B21" s="36"/>
      <c r="C21" s="18"/>
      <c r="D21" s="18"/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A22" s="17"/>
      <c r="B22" s="36"/>
      <c r="C22" s="18"/>
      <c r="D22" s="18"/>
      <c r="E22" s="18"/>
      <c r="F22" s="18"/>
      <c r="G22" s="18"/>
      <c r="H22" s="18"/>
      <c r="I22" s="18"/>
      <c r="J22" s="18"/>
    </row>
    <row r="23" customFormat="false" ht="15" hidden="false" customHeight="false" outlineLevel="0" collapsed="false">
      <c r="A23" s="17"/>
      <c r="B23" s="36"/>
      <c r="C23" s="18"/>
      <c r="D23" s="18"/>
      <c r="E23" s="18"/>
      <c r="F23" s="18"/>
      <c r="G23" s="18"/>
      <c r="H23" s="18"/>
      <c r="I23" s="18"/>
      <c r="J23" s="18"/>
    </row>
    <row r="24" customFormat="false" ht="15" hidden="false" customHeight="false" outlineLevel="0" collapsed="false">
      <c r="A24" s="17"/>
      <c r="B24" s="36"/>
      <c r="C24" s="18"/>
      <c r="D24" s="18"/>
      <c r="E24" s="18"/>
      <c r="F24" s="18"/>
      <c r="G24" s="18"/>
      <c r="H24" s="18"/>
      <c r="I24" s="18"/>
      <c r="J24" s="18"/>
    </row>
    <row r="25" customFormat="false" ht="15" hidden="false" customHeight="false" outlineLevel="0" collapsed="false">
      <c r="A25" s="17"/>
      <c r="B25" s="36"/>
      <c r="C25" s="18"/>
      <c r="D25" s="18"/>
      <c r="E25" s="18"/>
      <c r="F25" s="18"/>
      <c r="G25" s="18"/>
      <c r="H25" s="18"/>
      <c r="I25" s="18"/>
      <c r="J25" s="18"/>
    </row>
    <row r="26" customFormat="false" ht="15" hidden="false" customHeight="false" outlineLevel="0" collapsed="false">
      <c r="A26" s="17"/>
      <c r="B26" s="36"/>
      <c r="C26" s="18"/>
      <c r="D26" s="18"/>
      <c r="E26" s="18"/>
      <c r="F26" s="18"/>
      <c r="G26" s="18"/>
      <c r="H26" s="18"/>
      <c r="I26" s="18"/>
      <c r="J26" s="18"/>
    </row>
    <row r="27" customFormat="false" ht="15" hidden="false" customHeight="false" outlineLevel="0" collapsed="false">
      <c r="A27" s="17"/>
      <c r="B27" s="36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17"/>
      <c r="B28" s="36"/>
      <c r="C28" s="18"/>
      <c r="D28" s="18"/>
      <c r="E28" s="18"/>
      <c r="F28" s="18"/>
      <c r="G28" s="18"/>
      <c r="H28" s="18"/>
      <c r="I28" s="18"/>
      <c r="J28" s="18"/>
    </row>
    <row r="29" customFormat="false" ht="15" hidden="false" customHeight="false" outlineLevel="0" collapsed="false">
      <c r="A29" s="17"/>
      <c r="B29" s="36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17"/>
      <c r="B30" s="36"/>
      <c r="C30" s="18"/>
      <c r="D30" s="18"/>
      <c r="E30" s="18"/>
      <c r="F30" s="18"/>
      <c r="G30" s="18"/>
      <c r="H30" s="18"/>
      <c r="I30" s="18"/>
      <c r="J30" s="18"/>
    </row>
    <row r="31" customFormat="false" ht="15" hidden="false" customHeight="false" outlineLevel="0" collapsed="false">
      <c r="A31" s="17"/>
      <c r="B31" s="36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17"/>
      <c r="B32" s="36"/>
      <c r="C32" s="18"/>
      <c r="D32" s="18"/>
      <c r="E32" s="18"/>
      <c r="F32" s="18"/>
      <c r="G32" s="18"/>
      <c r="H32" s="18"/>
      <c r="I32" s="18"/>
      <c r="J32" s="18"/>
    </row>
    <row r="33" customFormat="false" ht="15" hidden="false" customHeight="false" outlineLevel="0" collapsed="false">
      <c r="A33" s="17"/>
      <c r="B33" s="36"/>
      <c r="C33" s="18"/>
      <c r="D33" s="18"/>
      <c r="E33" s="18"/>
      <c r="F33" s="18"/>
      <c r="G33" s="18"/>
      <c r="H33" s="18"/>
      <c r="I33" s="18"/>
      <c r="J33" s="18"/>
    </row>
    <row r="34" customFormat="false" ht="15" hidden="false" customHeight="false" outlineLevel="0" collapsed="false">
      <c r="A34" s="17"/>
      <c r="B34" s="36"/>
      <c r="C34" s="18"/>
      <c r="D34" s="18"/>
      <c r="E34" s="18"/>
      <c r="F34" s="18"/>
      <c r="G34" s="18"/>
      <c r="H34" s="18"/>
      <c r="I34" s="18"/>
      <c r="J34" s="18"/>
    </row>
    <row r="35" customFormat="false" ht="15" hidden="false" customHeight="false" outlineLevel="0" collapsed="false">
      <c r="A35" s="17"/>
      <c r="B35" s="36"/>
      <c r="C35" s="18"/>
      <c r="D35" s="18"/>
      <c r="E35" s="18"/>
      <c r="F35" s="18"/>
      <c r="G35" s="18"/>
      <c r="H35" s="18"/>
      <c r="I35" s="18"/>
      <c r="J35" s="18"/>
    </row>
    <row r="36" customFormat="false" ht="15" hidden="false" customHeight="false" outlineLevel="0" collapsed="false">
      <c r="A36" s="17"/>
      <c r="B36" s="36"/>
      <c r="C36" s="18"/>
      <c r="D36" s="18"/>
      <c r="E36" s="18"/>
      <c r="F36" s="18"/>
      <c r="G36" s="18"/>
      <c r="H36" s="18"/>
      <c r="I36" s="18"/>
      <c r="J36" s="18"/>
    </row>
    <row r="37" customFormat="false" ht="15" hidden="false" customHeight="false" outlineLevel="0" collapsed="false">
      <c r="A37" s="17"/>
      <c r="B37" s="36"/>
      <c r="C37" s="18"/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A38" s="17"/>
      <c r="B38" s="36"/>
      <c r="C38" s="18"/>
      <c r="D38" s="18"/>
      <c r="E38" s="18"/>
      <c r="F38" s="18"/>
      <c r="G38" s="18"/>
      <c r="H38" s="18"/>
      <c r="I38" s="18"/>
      <c r="J38" s="18"/>
    </row>
    <row r="39" customFormat="false" ht="15" hidden="false" customHeight="false" outlineLevel="0" collapsed="false">
      <c r="A39" s="17"/>
      <c r="B39" s="36"/>
      <c r="C39" s="18"/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A40" s="17"/>
      <c r="B40" s="36"/>
      <c r="C40" s="18"/>
      <c r="D40" s="18"/>
      <c r="E40" s="18"/>
      <c r="F40" s="18"/>
      <c r="G40" s="18"/>
      <c r="H40" s="18"/>
      <c r="I40" s="18"/>
      <c r="J40" s="18"/>
    </row>
    <row r="41" customFormat="false" ht="15" hidden="false" customHeight="false" outlineLevel="0" collapsed="false">
      <c r="A41" s="17"/>
      <c r="B41" s="36"/>
      <c r="C41" s="18"/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A42" s="17"/>
      <c r="B42" s="36"/>
      <c r="C42" s="18"/>
      <c r="D42" s="18"/>
      <c r="E42" s="18"/>
      <c r="F42" s="18"/>
      <c r="G42" s="18"/>
      <c r="H42" s="18"/>
      <c r="I42" s="18"/>
      <c r="J42" s="18"/>
    </row>
    <row r="43" customFormat="false" ht="15" hidden="false" customHeight="false" outlineLevel="0" collapsed="false">
      <c r="A43" s="17"/>
      <c r="B43" s="36"/>
      <c r="C43" s="18"/>
      <c r="D43" s="18"/>
      <c r="E43" s="18"/>
      <c r="F43" s="18"/>
      <c r="G43" s="18"/>
      <c r="H43" s="18"/>
      <c r="I43" s="18"/>
      <c r="J43" s="18"/>
    </row>
    <row r="44" customFormat="false" ht="15" hidden="false" customHeight="false" outlineLevel="0" collapsed="false">
      <c r="A44" s="17"/>
      <c r="B44" s="36"/>
      <c r="C44" s="18"/>
      <c r="D44" s="18"/>
      <c r="E44" s="18"/>
      <c r="F44" s="18"/>
      <c r="G44" s="18"/>
      <c r="H44" s="18"/>
      <c r="I44" s="18"/>
      <c r="J44" s="18"/>
    </row>
    <row r="45" customFormat="false" ht="15" hidden="false" customHeight="false" outlineLevel="0" collapsed="false">
      <c r="A45" s="17"/>
      <c r="B45" s="36"/>
      <c r="C45" s="18"/>
      <c r="D45" s="18"/>
      <c r="E45" s="18"/>
      <c r="F45" s="18"/>
      <c r="G45" s="18"/>
      <c r="H45" s="18"/>
      <c r="I45" s="18"/>
      <c r="J45" s="18"/>
    </row>
    <row r="46" customFormat="false" ht="15" hidden="false" customHeight="false" outlineLevel="0" collapsed="false">
      <c r="A46" s="17"/>
      <c r="B46" s="36"/>
      <c r="C46" s="18"/>
      <c r="D46" s="18"/>
      <c r="E46" s="18"/>
      <c r="F46" s="18"/>
      <c r="G46" s="18"/>
      <c r="H46" s="18"/>
      <c r="I46" s="18"/>
      <c r="J46" s="18"/>
    </row>
    <row r="47" customFormat="false" ht="15" hidden="false" customHeight="false" outlineLevel="0" collapsed="false">
      <c r="A47" s="17"/>
      <c r="B47" s="36"/>
      <c r="C47" s="18"/>
      <c r="D47" s="18"/>
      <c r="E47" s="18"/>
      <c r="F47" s="18"/>
      <c r="G47" s="18"/>
      <c r="H47" s="18"/>
      <c r="I47" s="18"/>
      <c r="J47" s="18"/>
    </row>
    <row r="48" customFormat="false" ht="15" hidden="false" customHeight="false" outlineLevel="0" collapsed="false">
      <c r="A48" s="17"/>
      <c r="B48" s="36"/>
      <c r="C48" s="18"/>
      <c r="D48" s="18"/>
      <c r="E48" s="18"/>
      <c r="F48" s="18"/>
      <c r="G48" s="18"/>
      <c r="H48" s="18"/>
      <c r="I48" s="18"/>
      <c r="J48" s="18"/>
    </row>
    <row r="49" customFormat="false" ht="15" hidden="false" customHeight="false" outlineLevel="0" collapsed="false">
      <c r="A49" s="17"/>
      <c r="B49" s="36"/>
      <c r="C49" s="18"/>
      <c r="D49" s="18"/>
      <c r="E49" s="18"/>
      <c r="F49" s="18"/>
      <c r="G49" s="18"/>
      <c r="H49" s="18"/>
      <c r="I49" s="18"/>
      <c r="J49" s="18"/>
    </row>
    <row r="50" customFormat="false" ht="15" hidden="false" customHeight="false" outlineLevel="0" collapsed="false">
      <c r="A50" s="17"/>
      <c r="B50" s="36"/>
      <c r="C50" s="18"/>
      <c r="D50" s="18"/>
      <c r="E50" s="18"/>
      <c r="F50" s="18"/>
      <c r="G50" s="18"/>
      <c r="H50" s="18"/>
      <c r="I50" s="18"/>
      <c r="J50" s="18"/>
    </row>
    <row r="51" customFormat="false" ht="15" hidden="false" customHeight="false" outlineLevel="0" collapsed="false">
      <c r="A51" s="17"/>
      <c r="B51" s="36"/>
      <c r="C51" s="18"/>
      <c r="D51" s="18"/>
      <c r="E51" s="18"/>
      <c r="F51" s="18"/>
      <c r="G51" s="18"/>
      <c r="H51" s="18"/>
      <c r="I51" s="18"/>
      <c r="J51" s="18"/>
    </row>
    <row r="52" customFormat="false" ht="15" hidden="false" customHeight="false" outlineLevel="0" collapsed="false">
      <c r="A52" s="17"/>
      <c r="B52" s="36"/>
      <c r="C52" s="18"/>
      <c r="D52" s="18"/>
      <c r="E52" s="18"/>
      <c r="F52" s="18"/>
      <c r="G52" s="18"/>
      <c r="H52" s="18"/>
      <c r="I52" s="18"/>
      <c r="J52" s="18"/>
    </row>
    <row r="53" customFormat="false" ht="15" hidden="false" customHeight="false" outlineLevel="0" collapsed="false">
      <c r="A53" s="17"/>
      <c r="B53" s="36"/>
      <c r="C53" s="18"/>
      <c r="D53" s="18"/>
      <c r="E53" s="18"/>
      <c r="F53" s="18"/>
      <c r="G53" s="18"/>
      <c r="H53" s="18"/>
      <c r="I53" s="18"/>
      <c r="J53" s="18"/>
    </row>
    <row r="54" customFormat="false" ht="15" hidden="false" customHeight="false" outlineLevel="0" collapsed="false">
      <c r="A54" s="17"/>
      <c r="B54" s="36"/>
      <c r="C54" s="18"/>
      <c r="D54" s="18"/>
      <c r="E54" s="18"/>
      <c r="F54" s="18"/>
      <c r="G54" s="18"/>
      <c r="H54" s="18"/>
      <c r="I54" s="18"/>
      <c r="J54" s="18"/>
    </row>
    <row r="55" customFormat="false" ht="15" hidden="false" customHeight="false" outlineLevel="0" collapsed="false">
      <c r="A55" s="17"/>
      <c r="B55" s="36"/>
      <c r="C55" s="18"/>
      <c r="D55" s="18"/>
      <c r="E55" s="18"/>
      <c r="F55" s="18"/>
      <c r="G55" s="18"/>
      <c r="H55" s="18"/>
      <c r="I55" s="18"/>
      <c r="J55" s="18"/>
    </row>
    <row r="56" customFormat="false" ht="15" hidden="false" customHeight="false" outlineLevel="0" collapsed="false">
      <c r="A56" s="17"/>
      <c r="B56" s="36"/>
      <c r="C56" s="18"/>
      <c r="D56" s="18"/>
      <c r="E56" s="18"/>
      <c r="F56" s="18"/>
      <c r="G56" s="18"/>
      <c r="H56" s="18"/>
      <c r="I56" s="18"/>
      <c r="J56" s="18"/>
    </row>
    <row r="57" customFormat="false" ht="15" hidden="false" customHeight="false" outlineLevel="0" collapsed="false">
      <c r="A57" s="17"/>
      <c r="B57" s="36"/>
      <c r="C57" s="18"/>
      <c r="D57" s="18"/>
      <c r="E57" s="18"/>
      <c r="F57" s="18"/>
      <c r="G57" s="18"/>
      <c r="H57" s="18"/>
      <c r="I57" s="18"/>
      <c r="J57" s="18"/>
    </row>
    <row r="58" customFormat="false" ht="15" hidden="false" customHeight="false" outlineLevel="0" collapsed="false">
      <c r="A58" s="17"/>
      <c r="B58" s="36"/>
      <c r="C58" s="18"/>
      <c r="D58" s="18"/>
      <c r="E58" s="18"/>
      <c r="F58" s="18"/>
      <c r="G58" s="18"/>
      <c r="H58" s="18"/>
      <c r="I58" s="18"/>
      <c r="J58" s="18"/>
    </row>
    <row r="59" customFormat="false" ht="15" hidden="false" customHeight="false" outlineLevel="0" collapsed="false">
      <c r="A59" s="17"/>
      <c r="B59" s="36"/>
      <c r="C59" s="18"/>
      <c r="D59" s="18"/>
      <c r="E59" s="18"/>
      <c r="F59" s="18"/>
      <c r="G59" s="18"/>
      <c r="H59" s="18"/>
      <c r="I59" s="18"/>
      <c r="J59" s="18"/>
    </row>
    <row r="60" customFormat="false" ht="15" hidden="false" customHeight="false" outlineLevel="0" collapsed="false">
      <c r="A60" s="17"/>
      <c r="B60" s="36"/>
      <c r="C60" s="18"/>
      <c r="D60" s="18"/>
      <c r="E60" s="18"/>
      <c r="F60" s="18"/>
      <c r="G60" s="18"/>
      <c r="H60" s="18"/>
      <c r="I60" s="18"/>
      <c r="J60" s="18"/>
    </row>
    <row r="61" customFormat="false" ht="15" hidden="false" customHeight="false" outlineLevel="0" collapsed="false">
      <c r="A61" s="17"/>
      <c r="B61" s="36"/>
      <c r="C61" s="18"/>
      <c r="D61" s="18"/>
      <c r="E61" s="18"/>
      <c r="F61" s="18"/>
      <c r="G61" s="18"/>
      <c r="H61" s="18"/>
      <c r="I61" s="18"/>
      <c r="J61" s="18"/>
    </row>
    <row r="62" customFormat="false" ht="15" hidden="false" customHeight="false" outlineLevel="0" collapsed="false">
      <c r="A62" s="17"/>
      <c r="B62" s="36"/>
      <c r="C62" s="18"/>
      <c r="D62" s="18"/>
      <c r="E62" s="18"/>
      <c r="F62" s="18"/>
      <c r="G62" s="18"/>
      <c r="H62" s="18"/>
      <c r="I62" s="18"/>
      <c r="J62" s="18"/>
    </row>
    <row r="63" customFormat="false" ht="15" hidden="false" customHeight="false" outlineLevel="0" collapsed="false">
      <c r="A63" s="17"/>
      <c r="B63" s="36"/>
      <c r="C63" s="18"/>
      <c r="D63" s="18"/>
      <c r="E63" s="18"/>
      <c r="F63" s="18"/>
      <c r="G63" s="18"/>
      <c r="H63" s="18"/>
      <c r="I63" s="18"/>
      <c r="J63" s="18"/>
    </row>
    <row r="64" customFormat="false" ht="15" hidden="false" customHeight="false" outlineLevel="0" collapsed="false">
      <c r="A64" s="17"/>
      <c r="B64" s="36"/>
      <c r="C64" s="18"/>
      <c r="D64" s="18"/>
      <c r="E64" s="18"/>
      <c r="F64" s="18"/>
      <c r="G64" s="18"/>
      <c r="H64" s="18"/>
      <c r="I64" s="18"/>
      <c r="J64" s="18"/>
    </row>
    <row r="65" customFormat="false" ht="15" hidden="false" customHeight="false" outlineLevel="0" collapsed="false">
      <c r="A65" s="17"/>
      <c r="B65" s="36"/>
      <c r="C65" s="18"/>
      <c r="D65" s="18"/>
      <c r="E65" s="18"/>
      <c r="F65" s="18"/>
      <c r="G65" s="18"/>
      <c r="H65" s="18"/>
      <c r="I65" s="18"/>
      <c r="J65" s="18"/>
    </row>
    <row r="66" customFormat="false" ht="15" hidden="false" customHeight="false" outlineLevel="0" collapsed="false">
      <c r="A66" s="17"/>
      <c r="B66" s="36"/>
      <c r="C66" s="18"/>
      <c r="D66" s="18"/>
      <c r="E66" s="18"/>
      <c r="F66" s="18"/>
      <c r="G66" s="18"/>
      <c r="H66" s="18"/>
      <c r="I66" s="18"/>
      <c r="J66" s="18"/>
    </row>
    <row r="67" customFormat="false" ht="15" hidden="false" customHeight="false" outlineLevel="0" collapsed="false">
      <c r="A67" s="17"/>
      <c r="B67" s="36"/>
      <c r="C67" s="18"/>
      <c r="D67" s="18"/>
      <c r="E67" s="18"/>
      <c r="F67" s="18"/>
      <c r="G67" s="18"/>
      <c r="H67" s="18"/>
      <c r="I67" s="18"/>
      <c r="J67" s="18"/>
    </row>
    <row r="68" customFormat="false" ht="15" hidden="false" customHeight="false" outlineLevel="0" collapsed="false">
      <c r="A68" s="17"/>
      <c r="B68" s="36"/>
      <c r="C68" s="18"/>
      <c r="D68" s="18"/>
      <c r="E68" s="18"/>
      <c r="F68" s="18"/>
      <c r="G68" s="18"/>
      <c r="H68" s="18"/>
      <c r="I68" s="18"/>
      <c r="J68" s="18"/>
    </row>
    <row r="69" customFormat="false" ht="15" hidden="false" customHeight="false" outlineLevel="0" collapsed="false">
      <c r="A69" s="17"/>
      <c r="B69" s="36"/>
      <c r="C69" s="18"/>
      <c r="D69" s="18"/>
      <c r="E69" s="18"/>
      <c r="F69" s="18"/>
      <c r="G69" s="18"/>
      <c r="H69" s="18"/>
      <c r="I69" s="18"/>
      <c r="J69" s="18"/>
    </row>
    <row r="70" customFormat="false" ht="15" hidden="false" customHeight="false" outlineLevel="0" collapsed="false">
      <c r="A70" s="17"/>
      <c r="B70" s="36"/>
      <c r="C70" s="18"/>
      <c r="D70" s="18"/>
      <c r="E70" s="18"/>
      <c r="F70" s="18"/>
      <c r="G70" s="18"/>
      <c r="H70" s="18"/>
      <c r="I70" s="18"/>
      <c r="J70" s="18"/>
    </row>
    <row r="71" customFormat="false" ht="15" hidden="false" customHeight="false" outlineLevel="0" collapsed="false">
      <c r="A71" s="17"/>
      <c r="B71" s="36"/>
      <c r="C71" s="18"/>
      <c r="D71" s="18"/>
      <c r="E71" s="18"/>
      <c r="F71" s="18"/>
      <c r="G71" s="18"/>
      <c r="H71" s="18"/>
      <c r="I71" s="18"/>
      <c r="J71" s="18"/>
    </row>
    <row r="72" customFormat="false" ht="15" hidden="false" customHeight="false" outlineLevel="0" collapsed="false">
      <c r="A72" s="17"/>
      <c r="B72" s="36"/>
      <c r="C72" s="18"/>
      <c r="D72" s="18"/>
      <c r="E72" s="18"/>
      <c r="F72" s="18"/>
      <c r="G72" s="18"/>
      <c r="H72" s="18"/>
      <c r="I72" s="18"/>
      <c r="J72" s="18"/>
    </row>
    <row r="73" customFormat="false" ht="15" hidden="false" customHeight="false" outlineLevel="0" collapsed="false">
      <c r="A73" s="17"/>
      <c r="B73" s="36"/>
      <c r="C73" s="18"/>
      <c r="D73" s="18"/>
      <c r="E73" s="18"/>
      <c r="F73" s="18"/>
      <c r="G73" s="18"/>
      <c r="H73" s="18"/>
      <c r="I73" s="18"/>
      <c r="J73" s="18"/>
    </row>
    <row r="74" customFormat="false" ht="15" hidden="false" customHeight="false" outlineLevel="0" collapsed="false">
      <c r="A74" s="17"/>
      <c r="B74" s="36"/>
      <c r="C74" s="18"/>
      <c r="D74" s="18"/>
      <c r="E74" s="18"/>
      <c r="F74" s="18"/>
      <c r="G74" s="18"/>
      <c r="H74" s="18"/>
      <c r="I74" s="18"/>
      <c r="J74" s="18"/>
    </row>
    <row r="75" customFormat="false" ht="15" hidden="false" customHeight="false" outlineLevel="0" collapsed="false">
      <c r="A75" s="17"/>
      <c r="B75" s="36"/>
      <c r="C75" s="18"/>
      <c r="D75" s="18"/>
      <c r="E75" s="18"/>
      <c r="F75" s="18"/>
      <c r="G75" s="18"/>
      <c r="H75" s="18"/>
      <c r="I75" s="18"/>
      <c r="J75" s="18"/>
    </row>
    <row r="76" customFormat="false" ht="15" hidden="false" customHeight="false" outlineLevel="0" collapsed="false">
      <c r="A76" s="17"/>
      <c r="B76" s="36"/>
      <c r="C76" s="18"/>
      <c r="D76" s="18"/>
      <c r="E76" s="18"/>
      <c r="F76" s="18"/>
      <c r="G76" s="18"/>
      <c r="H76" s="18"/>
      <c r="I76" s="18"/>
      <c r="J76" s="18"/>
    </row>
    <row r="77" customFormat="false" ht="15" hidden="false" customHeight="false" outlineLevel="0" collapsed="false">
      <c r="A77" s="17"/>
      <c r="B77" s="36"/>
      <c r="C77" s="18"/>
      <c r="D77" s="18"/>
      <c r="E77" s="18"/>
      <c r="F77" s="18"/>
      <c r="G77" s="18"/>
      <c r="H77" s="18"/>
      <c r="I77" s="18"/>
      <c r="J77" s="18"/>
    </row>
    <row r="78" customFormat="false" ht="15" hidden="false" customHeight="false" outlineLevel="0" collapsed="false">
      <c r="A78" s="17"/>
      <c r="B78" s="36"/>
      <c r="C78" s="18"/>
      <c r="D78" s="18"/>
      <c r="E78" s="18"/>
      <c r="F78" s="18"/>
      <c r="G78" s="18"/>
      <c r="H78" s="18"/>
      <c r="I78" s="18"/>
      <c r="J78" s="18"/>
    </row>
    <row r="79" customFormat="false" ht="15" hidden="false" customHeight="false" outlineLevel="0" collapsed="false">
      <c r="A79" s="17"/>
      <c r="B79" s="36"/>
      <c r="C79" s="18"/>
      <c r="D79" s="18"/>
      <c r="E79" s="18"/>
      <c r="F79" s="18"/>
      <c r="G79" s="18"/>
      <c r="H79" s="18"/>
      <c r="I79" s="18"/>
      <c r="J79" s="18"/>
    </row>
    <row r="80" customFormat="false" ht="15" hidden="false" customHeight="false" outlineLevel="0" collapsed="false">
      <c r="A80" s="17"/>
      <c r="B80" s="36"/>
      <c r="C80" s="18"/>
      <c r="D80" s="18"/>
      <c r="E80" s="18"/>
      <c r="F80" s="18"/>
      <c r="G80" s="18"/>
      <c r="H80" s="18"/>
      <c r="I80" s="18"/>
      <c r="J80" s="18"/>
    </row>
    <row r="81" customFormat="false" ht="15" hidden="false" customHeight="false" outlineLevel="0" collapsed="false">
      <c r="A81" s="17"/>
      <c r="B81" s="36"/>
      <c r="C81" s="18"/>
      <c r="D81" s="18"/>
      <c r="E81" s="18"/>
      <c r="F81" s="18"/>
      <c r="G81" s="18"/>
      <c r="H81" s="18"/>
      <c r="I81" s="18"/>
      <c r="J81" s="18"/>
    </row>
    <row r="82" customFormat="false" ht="15" hidden="false" customHeight="false" outlineLevel="0" collapsed="false">
      <c r="A82" s="17"/>
      <c r="B82" s="36"/>
      <c r="C82" s="18"/>
      <c r="D82" s="18"/>
      <c r="E82" s="18"/>
      <c r="F82" s="18"/>
      <c r="G82" s="18"/>
      <c r="H82" s="18"/>
      <c r="I82" s="18"/>
      <c r="J82" s="18"/>
    </row>
    <row r="83" customFormat="false" ht="15" hidden="false" customHeight="false" outlineLevel="0" collapsed="false">
      <c r="A83" s="17"/>
      <c r="B83" s="36"/>
      <c r="C83" s="18"/>
      <c r="D83" s="18"/>
      <c r="E83" s="18"/>
      <c r="F83" s="18"/>
      <c r="G83" s="18"/>
      <c r="H83" s="18"/>
      <c r="I83" s="18"/>
      <c r="J83" s="18"/>
    </row>
  </sheetData>
  <sheetProtection sheet="true" password="c7e9" objects="true" scenarios="true" sort="false" autoFilter="false"/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C4:C83" type="list">
      <formula1>SETTINGS!$B$5:$B$8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2026-08-30T15:47:14Z</dcterms:created>
  <dc:creator>openpyxl</dc:creator>
  <dc:description/>
  <dc:language>en-US</dc:language>
  <cp:lastModifiedBy/>
  <dcterms:modified xsi:type="dcterms:W3CDTF">2026-08-30T15:47:40Z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